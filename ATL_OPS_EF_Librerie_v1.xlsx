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Indice" sheetId="1" state="visible" r:id="rId1"/>
    <sheet name="01_Schema_canonico" sheetId="2" state="visible" r:id="rId2"/>
    <sheet name="02_LIB-01_TEE" sheetId="3" state="visible" r:id="rId3"/>
    <sheet name="03_LIB-02_CONV" sheetId="4" state="visible" r:id="rId4"/>
    <sheet name="04_LIB-03_CC-SENSE" sheetId="5" state="visible" r:id="rId5"/>
    <sheet name="05_LIB-04_CC-FOREST" sheetId="6" state="visible" r:id="rId6"/>
    <sheet name="06_LIB-05_CCF" sheetId="7" state="visible" r:id="rId7"/>
    <sheet name="07_LIB-06_PCF" sheetId="8" state="visible" r:id="rId8"/>
    <sheet name="08_Licenze" sheetId="9" state="visible" r:id="rId9"/>
    <sheet name="09_Gate_qualita" sheetId="10" state="visible" r:id="rId10"/>
    <sheet name="10_Gate_trasversali" sheetId="11" state="visible" r:id="rId11"/>
    <sheet name="11_Tier_validazione" sheetId="12" state="visible" r:id="rId12"/>
    <sheet name="12_Gaps" sheetId="13" state="visible" r:id="rId13"/>
    <sheet name="13_Legenda" sheetId="14" state="visible" r:id="rId14"/>
    <sheet name="14_Verifica_fonti" sheetId="15" state="visible" r:id="rId15"/>
    <sheet name="15_Conflitti" sheetId="16" state="visible" r:id="rId16"/>
    <sheet name="16_Allowlist_domini" sheetId="17" state="visible" r:id="rId17"/>
    <sheet name="17_Domini_esclusi" sheetId="18" state="visible" r:id="rId18"/>
    <sheet name="18_Piano_lavoro" sheetId="19" state="visible" r:id="rId19"/>
    <sheet name="19_Changelog_curazione" sheetId="20" state="visible" r:id="rId20"/>
  </sheets>
  <definedNames>
    <definedName name="_xlnm._FilterDatabase" localSheetId="1" hidden="1">'01_Schema_canonico'!$A$4:$D$54</definedName>
    <definedName name="_xlnm._FilterDatabase" localSheetId="2" hidden="1">'02_LIB-01_TEE'!$A$2:$BA$500</definedName>
    <definedName name="_xlnm._FilterDatabase" localSheetId="3" hidden="1">'03_LIB-02_CONV'!$A$2:$BA$500</definedName>
    <definedName name="_xlnm._FilterDatabase" localSheetId="4" hidden="1">'04_LIB-03_CC-SENSE'!$A$2:$BA$500</definedName>
    <definedName name="_xlnm._FilterDatabase" localSheetId="5" hidden="1">'05_LIB-04_CC-FOREST'!$A$2:$BA$500</definedName>
    <definedName name="_xlnm._FilterDatabase" localSheetId="6" hidden="1">'06_LIB-05_CCF'!$A$2:$BA$500</definedName>
    <definedName name="_xlnm._FilterDatabase" localSheetId="7" hidden="1">'07_LIB-06_PCF'!$A$2:$BA$500</definedName>
    <definedName name="_xlnm._FilterDatabase" localSheetId="12" hidden="1">'12_Gaps'!$A$4:$F$23</definedName>
    <definedName name="_xlnm._FilterDatabase" localSheetId="14" hidden="1">'14_Verifica_fonti'!$A$4:$I$9</definedName>
    <definedName name="_xlnm._FilterDatabase" localSheetId="16" hidden="1">'16_Allowlist_domini'!$A$4:$F$25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color rgb="000F2418"/>
      <sz val="9"/>
    </font>
    <font>
      <name val="Arial"/>
      <b val="1"/>
      <color rgb="007F6000"/>
      <sz val="9"/>
    </font>
    <font>
      <name val="Arial"/>
      <b val="1"/>
      <color rgb="007F6000"/>
      <sz val="10"/>
    </font>
  </fonts>
  <fills count="10">
    <fill>
      <patternFill/>
    </fill>
    <fill>
      <patternFill patternType="gray125"/>
    </fill>
    <fill>
      <patternFill patternType="solid">
        <fgColor rgb="000F2418"/>
      </patternFill>
    </fill>
    <fill>
      <patternFill patternType="solid">
        <fgColor rgb="003A7D44"/>
      </patternFill>
    </fill>
    <fill>
      <patternFill patternType="solid">
        <fgColor rgb="00F2F2F2"/>
      </patternFill>
    </fill>
    <fill>
      <patternFill patternType="solid">
        <fgColor rgb="00FFF2CC"/>
      </patternFill>
    </fill>
    <fill>
      <patternFill patternType="solid">
        <fgColor rgb="00FFC7CE"/>
      </patternFill>
    </fill>
    <fill>
      <patternFill patternType="solid">
        <fgColor rgb="006FBF7A"/>
      </patternFill>
    </fill>
    <fill>
      <patternFill patternType="solid">
        <fgColor rgb="00BF8F00"/>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horizontal="center" vertical="center" wrapText="1"/>
    </xf>
    <xf numFmtId="0" fontId="5" fillId="0" borderId="0" pivotButton="0" quotePrefix="0" xfId="0"/>
    <xf numFmtId="0" fontId="5" fillId="5" borderId="0"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6" fillId="7" borderId="1" applyAlignment="1" pivotButton="0" quotePrefix="0" xfId="0">
      <alignment horizontal="center" vertical="center" wrapText="1"/>
    </xf>
    <xf numFmtId="0" fontId="7" fillId="5" borderId="1" applyAlignment="1" pivotButton="0" quotePrefix="0" xfId="0">
      <alignment horizontal="center" vertical="center" wrapText="1"/>
    </xf>
    <xf numFmtId="0" fontId="3" fillId="8" borderId="1" applyAlignment="1" pivotButton="0" quotePrefix="0" xfId="0">
      <alignment horizontal="center" vertical="center" wrapText="1"/>
    </xf>
    <xf numFmtId="0" fontId="2" fillId="5" borderId="0" applyAlignment="1" pivotButton="0" quotePrefix="0" xfId="0">
      <alignment vertical="center" indent="1"/>
    </xf>
    <xf numFmtId="0" fontId="5" fillId="9"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8" fillId="5"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0" customWidth="1" min="1" max="1"/>
    <col width="34" customWidth="1" min="2" max="2"/>
    <col width="22" customWidth="1" min="3" max="3"/>
    <col width="30" customWidth="1" min="4" max="4"/>
    <col width="42" customWidth="1" min="5" max="5"/>
    <col width="20" customWidth="1" min="6" max="6"/>
    <col width="13" customWidth="1" min="7" max="7"/>
    <col width="30" customWidth="1" min="8" max="8"/>
    <col width="52" customWidth="1" min="9" max="9"/>
  </cols>
  <sheetData>
    <row r="1" ht="26" customHeight="1">
      <c r="A1" s="1" t="inlineStr">
        <is>
          <t>ATL_OPS_EF_Librerie_v1 — le sei librerie di fattori per B.R.A.I.N.</t>
        </is>
      </c>
    </row>
    <row r="2" ht="16" customHeight="1">
      <c r="A2" s="2" t="inlineStr">
        <is>
          <t>Curata internamente. Nessun record validato: la firma del CSO non e' stata apposta. Conforme a CLAUDE.md v2 (ATL_OPS_AgentEF_IstruzioniClaudeCode_v2). Aggiornato al 21/08/2026.</t>
        </is>
      </c>
    </row>
    <row r="4" ht="32" customHeight="1">
      <c r="A4" s="3" t="inlineStr">
        <is>
          <t>library_id</t>
        </is>
      </c>
      <c r="B4" s="3" t="inlineStr">
        <is>
          <t>Libreria</t>
        </is>
      </c>
      <c r="C4" s="3" t="inlineStr">
        <is>
          <t>Natura epistemica</t>
        </is>
      </c>
      <c r="D4" s="3" t="inlineStr">
        <is>
          <t>Fonte di autorita'</t>
        </is>
      </c>
      <c r="E4" s="3" t="inlineStr">
        <is>
          <t>Gerarchia di fonte applicabile (§4)</t>
        </is>
      </c>
      <c r="F4" s="3" t="inlineStr">
        <is>
          <t>Foglio</t>
        </is>
      </c>
      <c r="G4" s="3" t="inlineStr">
        <is>
          <t>Record bozza</t>
        </is>
      </c>
      <c r="H4" s="3" t="inlineStr">
        <is>
          <t>Campi obbligatori aggiuntivi</t>
        </is>
      </c>
      <c r="I4" s="3" t="inlineStr">
        <is>
          <t>Note operative</t>
        </is>
      </c>
    </row>
    <row r="5">
      <c r="A5" s="4" t="inlineStr">
        <is>
          <t>LIB-01</t>
        </is>
      </c>
      <c r="B5" s="4" t="inlineStr">
        <is>
          <t>Coefficienti TEE / GSE (progetto Smart Move)</t>
        </is>
      </c>
      <c r="C5" s="4" t="inlineStr">
        <is>
          <t>Normativa</t>
        </is>
      </c>
      <c r="D5" s="4" t="inlineStr">
        <is>
          <t>Diritto italiano (ARERA, MASE, GSE)</t>
        </is>
      </c>
      <c r="E5" s="4" t="inlineStr">
        <is>
          <t>Solo diritto nazionale italiano. Nessuna fonte europea ha autorita' sui coefficienti TEE.</t>
        </is>
      </c>
      <c r="F5" s="4" t="inlineStr">
        <is>
          <t>02_LIB-01_TEE</t>
        </is>
      </c>
      <c r="G5" s="5">
        <f>COUNTA('02_LIB-01_TEE'!$A$5:$A$500)</f>
        <v/>
      </c>
      <c r="H5" s="4" t="inlineStr">
        <is>
          <t>legal_reference</t>
        </is>
      </c>
      <c r="I5" s="4" t="inlineStr">
        <is>
          <t>Si aggiorna solo per modifica di legge, non per evidenza scientifica. Tutti i record sono T1.</t>
        </is>
      </c>
    </row>
    <row r="6">
      <c r="A6" s="6" t="inlineStr">
        <is>
          <t>LIB-02</t>
        </is>
      </c>
      <c r="B6" s="6" t="inlineStr">
        <is>
          <t>Conversioni energetiche generali e parametri di riferimento</t>
        </is>
      </c>
      <c r="C6" s="6" t="inlineStr">
        <is>
          <t>Fisica / convenzionale</t>
        </is>
      </c>
      <c r="D6" s="6" t="inlineStr">
        <is>
          <t>Definizioni e tabelle ufficiali</t>
        </is>
      </c>
      <c r="E6" s="6" t="inlineStr">
        <is>
          <t>Definizioni ufficiali e tabelle nazionali; fonti europee per confronto, non per sostituzione.</t>
        </is>
      </c>
      <c r="F6" s="6" t="inlineStr">
        <is>
          <t>03_LIB-02_CONV</t>
        </is>
      </c>
      <c r="G6" s="7">
        <f>COUNTA('03_LIB-02_CONV'!$A$5:$A$500)</f>
        <v/>
      </c>
      <c r="H6" s="6" t="inlineStr">
        <is>
          <t>conversion_applied</t>
        </is>
      </c>
      <c r="I6" s="6" t="inlineStr">
        <is>
          <t>I parametri di rendimento sono record separati dai fattori di conversione, mai moltiplicati in un valore precompilato.</t>
        </is>
      </c>
    </row>
    <row r="7">
      <c r="A7" s="4" t="inlineStr">
        <is>
          <t>LIB-03</t>
        </is>
      </c>
      <c r="B7" s="4" t="inlineStr">
        <is>
          <t>Crediti di carbonio — CarbonSense</t>
        </is>
      </c>
      <c r="C7" s="4" t="inlineStr">
        <is>
          <t>Metodologica</t>
        </is>
      </c>
      <c r="D7" s="4" t="inlineStr">
        <is>
          <t>Standard di certificazione</t>
        </is>
      </c>
      <c r="E7" s="4" t="inlineStr">
        <is>
          <t>Lo standard applicabile al progetto specifico prevale sempre.</t>
        </is>
      </c>
      <c r="F7" s="4" t="inlineStr">
        <is>
          <t>04_LIB-03_CC-SENSE</t>
        </is>
      </c>
      <c r="G7" s="5">
        <f>COUNTA('04_LIB-03_CC-SENSE'!$A$5:$A$500)</f>
        <v/>
      </c>
      <c r="H7" s="4" t="inlineStr">
        <is>
          <t>methodology_reference, system_boundary</t>
        </is>
      </c>
      <c r="I7" s="4" t="inlineStr">
        <is>
          <t>Contiene parametri di metodologia, non fattori. Nessun 'fattore di conversione in crediti' esiste.</t>
        </is>
      </c>
    </row>
    <row r="8">
      <c r="A8" s="6" t="inlineStr">
        <is>
          <t>LIB-04</t>
        </is>
      </c>
      <c r="B8" s="6" t="inlineStr">
        <is>
          <t>Crediti di carbonio — forestale</t>
        </is>
      </c>
      <c r="C8" s="6" t="inlineStr">
        <is>
          <t>Metodologica + biometrica</t>
        </is>
      </c>
      <c r="D8" s="6" t="inlineStr">
        <is>
          <t>Standard + registri nazionali</t>
        </is>
      </c>
      <c r="E8" s="6" t="inlineStr">
        <is>
          <t>Lo standard applicabile al progetto specifico prevale sempre.</t>
        </is>
      </c>
      <c r="F8" s="6" t="inlineStr">
        <is>
          <t>05_LIB-04_CC-FOREST</t>
        </is>
      </c>
      <c r="G8" s="7">
        <f>COUNTA('05_LIB-04_CC-FOREST'!$A$5:$A$500)</f>
        <v/>
      </c>
      <c r="H8" s="6" t="inlineStr">
        <is>
          <t>methodology_reference, system_boundary, carbon_pool</t>
        </is>
      </c>
      <c r="I8" s="6" t="inlineStr">
        <is>
          <t>Punto di contatto con l'interlocuzione CREA: allineare le specifiche di monitoraggio prima di consolidare la tassonomia.</t>
        </is>
      </c>
    </row>
    <row r="9">
      <c r="A9" s="4" t="inlineStr">
        <is>
          <t>LIB-05</t>
        </is>
      </c>
      <c r="B9" s="4" t="inlineStr">
        <is>
          <t>Carbon Footprint di organizzazione</t>
        </is>
      </c>
      <c r="C9" s="4" t="inlineStr">
        <is>
          <t>Empirica</t>
        </is>
      </c>
      <c r="D9" s="4" t="inlineStr">
        <is>
          <t>Inventari nazionali, IPCC, ESRS</t>
        </is>
      </c>
      <c r="E9" s="4" t="inlineStr">
        <is>
          <t>Inventario nazionale per l'Italia; fonti europee e IPCC per default e geografie non coperte.</t>
        </is>
      </c>
      <c r="F9" s="4" t="inlineStr">
        <is>
          <t>06_LIB-05_CCF</t>
        </is>
      </c>
      <c r="G9" s="5">
        <f>COUNTA('06_LIB-05_CCF'!$A$5:$A$500)</f>
        <v/>
      </c>
      <c r="H9" s="4" t="inlineStr">
        <is>
          <t>scope, ghgp_category, gwp_set</t>
        </is>
      </c>
      <c r="I9" s="4" t="inlineStr">
        <is>
          <t>Scope 2 duale obbligatorio (location-based e market-based) o assenza dichiarata in gaps.</t>
        </is>
      </c>
    </row>
    <row r="10">
      <c r="A10" s="6" t="inlineStr">
        <is>
          <t>LIB-06</t>
        </is>
      </c>
      <c r="B10" s="6" t="inlineStr">
        <is>
          <t>Carbon Footprint di prodotto</t>
        </is>
      </c>
      <c r="C10" s="6" t="inlineStr">
        <is>
          <t>Empirica / LCA</t>
        </is>
      </c>
      <c r="D10" s="6" t="inlineStr">
        <is>
          <t>PCR, EPD, dataset LCA</t>
        </is>
      </c>
      <c r="E10" s="6" t="inlineStr">
        <is>
          <t>PCR di categoria applicabile; poi dataset europei di riferimento.</t>
        </is>
      </c>
      <c r="F10" s="6" t="inlineStr">
        <is>
          <t>07_LIB-06_PCF</t>
        </is>
      </c>
      <c r="G10" s="7">
        <f>COUNTA('07_LIB-06_PCF'!$A$5:$A$500)</f>
        <v/>
      </c>
      <c r="H10" s="6" t="inlineStr">
        <is>
          <t>functional_unit, system_boundary, product_category</t>
        </is>
      </c>
      <c r="I10" s="6" t="inlineStr">
        <is>
          <t>Priorita': prodotti da costruzione, poi rifiuti/economia circolare, poi agroalimentare.</t>
        </is>
      </c>
    </row>
    <row r="12">
      <c r="A12" s="8" t="inlineStr">
        <is>
          <t>Totale record bozza nel workbook</t>
        </is>
      </c>
      <c r="G12" s="9">
        <f>SUM(G5:G10)</f>
        <v/>
      </c>
    </row>
    <row r="14">
      <c r="A14" s="10" t="inlineStr">
        <is>
          <t>STATO AL 21/08/2026. Nessun valore e' stato stimato, interpolato o derivato. I soli record presenti sono i tre coefficienti che CLAUDE.md riporta esplicitamente, in status = draft, con i campi di provenienza non localizzabili marcati [DA VERIFICARE IN FONTE PRIMARIA]: non superano il gate 2 e non sono utilizzabili in calcolo. LIB-03…LIB-06 sono template vuoti: le celle vuote sono lacune dichiarate (foglio 12_Gaps), non dimenticanze.</t>
        </is>
      </c>
    </row>
    <row r="15"/>
    <row r="16"/>
    <row r="18">
      <c r="A18" s="11" t="inlineStr">
        <is>
          <t>VERIFICA DI FONTE ESEGUITA, NON COMPLETABILE IN QUESTO AMBIENTE. I documenti primari sono stati localizzati (14_Verifica_fonti) ma non scaricabili: la policy di egress blocca arera.it, gazzettaufficiale.it, gse.it, mase.gov.it, mimit.gov.it, eur-lex.europa.eu (GAP-018). Rimedio in 16_Allowlist_domini. Due conflitti aperti in 15_Conflitti. Priorita' assoluta: il D.M. MASE 21 luglio 2025, che se confermato ridefinisce la base normativa di tutta LIB-01 (VF-004, escalation §14).</t>
        </is>
      </c>
    </row>
    <row r="19"/>
    <row r="20"/>
    <row r="22">
      <c r="A22" s="6" t="inlineStr">
        <is>
          <t>GUIDA AI FOGLI. 01 schema dei 50 campi · 02-07 le sei librerie · 08 licenze · 09 i 14 gate di qualita' · 10 gate trasversali G1-G3 · 11 tier di validazione e contenuto del pacchetto · 12 lacune aperte · 13 legenda di compilazione · 14 verifica di fonte · 15 conflitti non risolti · 16 allowlist dei domini · 17 domini esclusi · 18 piano di lavoro · 19 registro dello sforzo di curazione (§15).</t>
        </is>
      </c>
    </row>
    <row r="23"/>
    <row r="24"/>
  </sheetData>
  <mergeCells count="5">
    <mergeCell ref="A14:I16"/>
    <mergeCell ref="A2:I2"/>
    <mergeCell ref="A22:I24"/>
    <mergeCell ref="A1:I1"/>
    <mergeCell ref="A18:I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4"/>
  <sheetViews>
    <sheetView workbookViewId="0">
      <pane ySplit="4" topLeftCell="A5" activePane="bottomLeft" state="frozen"/>
      <selection pane="bottomLeft" activeCell="A1" sqref="A1"/>
    </sheetView>
  </sheetViews>
  <sheetFormatPr baseColWidth="8" defaultRowHeight="15"/>
  <cols>
    <col width="22" customWidth="1" min="1" max="1"/>
    <col width="34" customWidth="1" min="2" max="2"/>
    <col width="18" customWidth="1" min="3" max="3"/>
    <col width="96" customWidth="1" min="4" max="4"/>
  </cols>
  <sheetData>
    <row r="1" ht="26" customHeight="1">
      <c r="A1" s="1" t="inlineStr">
        <is>
          <t>Schema dati canonico (§7)</t>
        </is>
      </c>
    </row>
    <row r="2" ht="16" customHeight="1">
      <c r="A2" s="2" t="inlineStr">
        <is>
          <t>Tutti i campi presenti in ogni record. Non applicabile -&gt; 'n/a' con motivazione; mai vuoto.</t>
        </is>
      </c>
    </row>
    <row r="4" ht="32" customHeight="1">
      <c r="A4" s="3" t="inlineStr">
        <is>
          <t>Gruppo</t>
        </is>
      </c>
      <c r="B4" s="3" t="inlineStr">
        <is>
          <t>Campo</t>
        </is>
      </c>
      <c r="C4" s="3" t="inlineStr">
        <is>
          <t>Obbligatorio</t>
        </is>
      </c>
      <c r="D4" s="3" t="inlineStr">
        <is>
          <t>Nota</t>
        </is>
      </c>
    </row>
    <row r="5">
      <c r="A5" s="4" t="inlineStr">
        <is>
          <t>Identificazione</t>
        </is>
      </c>
      <c r="B5" s="4" t="inlineStr">
        <is>
          <t>factor_id</t>
        </is>
      </c>
      <c r="C5" s="4" t="inlineStr">
        <is>
          <t>sempre</t>
        </is>
      </c>
      <c r="D5" s="4" t="inlineStr">
        <is>
          <t>Identificativo univoco. Nuovo factor_id ad ogni aggiornamento (§2.1): non si sovrascrive.</t>
        </is>
      </c>
    </row>
    <row r="6">
      <c r="A6" s="6" t="inlineStr">
        <is>
          <t>Identificazione</t>
        </is>
      </c>
      <c r="B6" s="6" t="inlineStr">
        <is>
          <t>library_id</t>
        </is>
      </c>
      <c r="C6" s="6" t="inlineStr">
        <is>
          <t>sempre</t>
        </is>
      </c>
      <c r="D6" s="6" t="inlineStr">
        <is>
          <t>LIB-01 … LIB-06.</t>
        </is>
      </c>
    </row>
    <row r="7">
      <c r="A7" s="4" t="inlineStr">
        <is>
          <t>Identificazione</t>
        </is>
      </c>
      <c r="B7" s="4" t="inlineStr">
        <is>
          <t>record_version</t>
        </is>
      </c>
      <c r="C7" s="4" t="inlineStr">
        <is>
          <t>sempre</t>
        </is>
      </c>
      <c r="D7" s="4" t="inlineStr">
        <is>
          <t>Versione del record.</t>
        </is>
      </c>
    </row>
    <row r="8">
      <c r="A8" s="6" t="inlineStr">
        <is>
          <t>Identificazione</t>
        </is>
      </c>
      <c r="B8" s="6" t="inlineStr">
        <is>
          <t>status</t>
        </is>
      </c>
      <c r="C8" s="6" t="inlineStr">
        <is>
          <t>sempre</t>
        </is>
      </c>
      <c r="D8" s="6" t="inlineStr">
        <is>
          <t>draft | in_review | validated | superseded | rejected. 'validated' solo con firma Garbin (§11).</t>
        </is>
      </c>
    </row>
    <row r="9">
      <c r="A9" s="4" t="inlineStr">
        <is>
          <t>Classificazione</t>
        </is>
      </c>
      <c r="B9" s="4" t="inlineStr">
        <is>
          <t>activity_category</t>
        </is>
      </c>
      <c r="C9" s="4" t="inlineStr">
        <is>
          <t>sempre</t>
        </is>
      </c>
      <c r="D9" s="4" t="inlineStr"/>
    </row>
    <row r="10">
      <c r="A10" s="6" t="inlineStr">
        <is>
          <t>Classificazione</t>
        </is>
      </c>
      <c r="B10" s="6" t="inlineStr">
        <is>
          <t>activity_subcategory</t>
        </is>
      </c>
      <c r="C10" s="6" t="inlineStr">
        <is>
          <t>sempre</t>
        </is>
      </c>
      <c r="D10" s="6" t="inlineStr"/>
    </row>
    <row r="11">
      <c r="A11" s="4" t="inlineStr">
        <is>
          <t>Classificazione</t>
        </is>
      </c>
      <c r="B11" s="4" t="inlineStr">
        <is>
          <t>activity_description_verbatim</t>
        </is>
      </c>
      <c r="C11" s="4" t="inlineStr">
        <is>
          <t>sempre</t>
        </is>
      </c>
      <c r="D11" s="4" t="inlineStr">
        <is>
          <t>Testo della fonte, verbatim. Non riformulare.</t>
        </is>
      </c>
    </row>
    <row r="12">
      <c r="A12" s="6" t="inlineStr">
        <is>
          <t>Classificazione</t>
        </is>
      </c>
      <c r="B12" s="6" t="inlineStr">
        <is>
          <t>nace_code</t>
        </is>
      </c>
      <c r="C12" s="6" t="inlineStr">
        <is>
          <t>sempre</t>
        </is>
      </c>
      <c r="D12" s="6" t="inlineStr"/>
    </row>
    <row r="13">
      <c r="A13" s="4" t="inlineStr">
        <is>
          <t>Classificazione</t>
        </is>
      </c>
      <c r="B13" s="4" t="inlineStr">
        <is>
          <t>ateco_code</t>
        </is>
      </c>
      <c r="C13" s="4" t="inlineStr">
        <is>
          <t>sempre</t>
        </is>
      </c>
      <c r="D13" s="4" t="inlineStr"/>
    </row>
    <row r="14">
      <c r="A14" s="6" t="inlineStr">
        <is>
          <t>Classificazione</t>
        </is>
      </c>
      <c r="B14" s="6" t="inlineStr">
        <is>
          <t>process_step</t>
        </is>
      </c>
      <c r="C14" s="6" t="inlineStr">
        <is>
          <t>sempre</t>
        </is>
      </c>
      <c r="D14" s="6" t="inlineStr"/>
    </row>
    <row r="15">
      <c r="A15" s="4" t="inlineStr">
        <is>
          <t>Classificazione</t>
        </is>
      </c>
      <c r="B15" s="4" t="inlineStr">
        <is>
          <t>scope</t>
        </is>
      </c>
      <c r="C15" s="4" t="inlineStr">
        <is>
          <t>sempre</t>
        </is>
      </c>
      <c r="D15" s="4" t="inlineStr">
        <is>
          <t>Scope 1 / 2 / 3 (rilevante LIB-05).</t>
        </is>
      </c>
    </row>
    <row r="16">
      <c r="A16" s="6" t="inlineStr">
        <is>
          <t>Classificazione</t>
        </is>
      </c>
      <c r="B16" s="6" t="inlineStr">
        <is>
          <t>ghgp_category</t>
        </is>
      </c>
      <c r="C16" s="6" t="inlineStr">
        <is>
          <t>sempre</t>
        </is>
      </c>
      <c r="D16" s="6" t="inlineStr">
        <is>
          <t>Categoria GHG Protocol (1-15 per Scope 3).</t>
        </is>
      </c>
    </row>
    <row r="17">
      <c r="A17" s="4" t="inlineStr">
        <is>
          <t>Classificazione</t>
        </is>
      </c>
      <c r="B17" s="4" t="inlineStr">
        <is>
          <t>geography</t>
        </is>
      </c>
      <c r="C17" s="4" t="inlineStr">
        <is>
          <t>sempre</t>
        </is>
      </c>
      <c r="D17" s="4" t="inlineStr"/>
    </row>
    <row r="18">
      <c r="A18" s="6" t="inlineStr">
        <is>
          <t>Classificazione</t>
        </is>
      </c>
      <c r="B18" s="6" t="inlineStr">
        <is>
          <t>technology</t>
        </is>
      </c>
      <c r="C18" s="6" t="inlineStr">
        <is>
          <t>sempre</t>
        </is>
      </c>
      <c r="D18" s="6" t="inlineStr">
        <is>
          <t>Alternativa a product_category secondo libreria.</t>
        </is>
      </c>
    </row>
    <row r="19">
      <c r="A19" s="4" t="inlineStr">
        <is>
          <t>Classificazione</t>
        </is>
      </c>
      <c r="B19" s="4" t="inlineStr">
        <is>
          <t>product_category</t>
        </is>
      </c>
      <c r="C19" s="4" t="inlineStr">
        <is>
          <t>sempre</t>
        </is>
      </c>
      <c r="D19" s="4" t="inlineStr">
        <is>
          <t>Obbligatorio LIB-06.</t>
        </is>
      </c>
    </row>
    <row r="20">
      <c r="A20" s="6" t="inlineStr">
        <is>
          <t>Valore</t>
        </is>
      </c>
      <c r="B20" s="6" t="inlineStr">
        <is>
          <t>value</t>
        </is>
      </c>
      <c r="C20" s="6" t="inlineStr">
        <is>
          <t>sempre</t>
        </is>
      </c>
      <c r="D20" s="6" t="inlineStr">
        <is>
          <t>Valore verbatim da fonte primaria. Mai stimato, interpolato o mediato (§1).</t>
        </is>
      </c>
    </row>
    <row r="21">
      <c r="A21" s="4" t="inlineStr">
        <is>
          <t>Valore</t>
        </is>
      </c>
      <c r="B21" s="4" t="inlineStr">
        <is>
          <t>unit_numerator</t>
        </is>
      </c>
      <c r="C21" s="4" t="inlineStr">
        <is>
          <t>sempre</t>
        </is>
      </c>
      <c r="D21" s="4" t="inlineStr">
        <is>
          <t>Da taxonomy/units.yaml.</t>
        </is>
      </c>
    </row>
    <row r="22">
      <c r="A22" s="6" t="inlineStr">
        <is>
          <t>Valore</t>
        </is>
      </c>
      <c r="B22" s="6" t="inlineStr">
        <is>
          <t>unit_denominator</t>
        </is>
      </c>
      <c r="C22" s="6" t="inlineStr">
        <is>
          <t>sempre</t>
        </is>
      </c>
      <c r="D22" s="6" t="inlineStr">
        <is>
          <t>Da taxonomy/units.yaml.</t>
        </is>
      </c>
    </row>
    <row r="23">
      <c r="A23" s="4" t="inlineStr">
        <is>
          <t>Valore</t>
        </is>
      </c>
      <c r="B23" s="4" t="inlineStr">
        <is>
          <t>gas</t>
        </is>
      </c>
      <c r="C23" s="4" t="inlineStr">
        <is>
          <t>sempre</t>
        </is>
      </c>
      <c r="D23" s="4" t="inlineStr">
        <is>
          <t>CO2 / CH4 / N2O / CO2e. Non aggregare cio' che la fonte separa (§3 LIB-05).</t>
        </is>
      </c>
    </row>
    <row r="24">
      <c r="A24" s="6" t="inlineStr">
        <is>
          <t>Valore</t>
        </is>
      </c>
      <c r="B24" s="6" t="inlineStr">
        <is>
          <t>gwp_set</t>
        </is>
      </c>
      <c r="C24" s="6" t="inlineStr">
        <is>
          <t>sempre</t>
        </is>
      </c>
      <c r="D24" s="6" t="inlineStr">
        <is>
          <t>Set GWP dichiarato. Gate G1: uno solo per versione.</t>
        </is>
      </c>
    </row>
    <row r="25">
      <c r="A25" s="4" t="inlineStr">
        <is>
          <t>Valore</t>
        </is>
      </c>
      <c r="B25" s="4" t="inlineStr">
        <is>
          <t>system_boundary</t>
        </is>
      </c>
      <c r="C25" s="4" t="inlineStr">
        <is>
          <t>LIB-03/04/06</t>
        </is>
      </c>
      <c r="D25" s="4" t="inlineStr">
        <is>
          <t>Non nullo per LIB-03, LIB-04, LIB-06 (gate 9).</t>
        </is>
      </c>
    </row>
    <row r="26">
      <c r="A26" s="6" t="inlineStr">
        <is>
          <t>Valore</t>
        </is>
      </c>
      <c r="B26" s="6" t="inlineStr">
        <is>
          <t>functional_unit</t>
        </is>
      </c>
      <c r="C26" s="6" t="inlineStr">
        <is>
          <t>LIB-06</t>
        </is>
      </c>
      <c r="D26" s="6" t="inlineStr">
        <is>
          <t>Non nullabile per PCF (§3 LIB-06).</t>
        </is>
      </c>
    </row>
    <row r="27">
      <c r="A27" s="4" t="inlineStr">
        <is>
          <t>Valore</t>
        </is>
      </c>
      <c r="B27" s="4" t="inlineStr">
        <is>
          <t>carbon_pool</t>
        </is>
      </c>
      <c r="C27" s="4" t="inlineStr">
        <is>
          <t>LIB-04</t>
        </is>
      </c>
      <c r="D27" s="4" t="inlineStr">
        <is>
          <t>Non nullo per LIB-04 (gate 12). Da taxonomy/carbon_pools.yaml.</t>
        </is>
      </c>
    </row>
    <row r="28">
      <c r="A28" s="6" t="inlineStr">
        <is>
          <t>Valore</t>
        </is>
      </c>
      <c r="B28" s="6" t="inlineStr">
        <is>
          <t>uncertainty</t>
        </is>
      </c>
      <c r="C28" s="6" t="inlineStr">
        <is>
          <t>condizionale</t>
        </is>
      </c>
      <c r="D28" s="6" t="inlineStr">
        <is>
          <t>Solo se dichiarata in fonte. Mai calcolata dall'agent.</t>
        </is>
      </c>
    </row>
    <row r="29">
      <c r="A29" s="4" t="inlineStr">
        <is>
          <t>Natura del record</t>
        </is>
      </c>
      <c r="B29" s="4" t="inlineStr">
        <is>
          <t>record_type</t>
        </is>
      </c>
      <c r="C29" s="4" t="inlineStr">
        <is>
          <t>sempre</t>
        </is>
      </c>
      <c r="D29" s="4" t="inlineStr">
        <is>
          <t>conversion_factor | emission_factor | reference_parameter | methodology_parameter. Gate G3: un conversion_factor non puo' incorporare un rendimento.</t>
        </is>
      </c>
    </row>
    <row r="30">
      <c r="A30" s="6" t="inlineStr">
        <is>
          <t>Vigenza</t>
        </is>
      </c>
      <c r="B30" s="6" t="inlineStr">
        <is>
          <t>reference_year</t>
        </is>
      </c>
      <c r="C30" s="6" t="inlineStr">
        <is>
          <t>sempre</t>
        </is>
      </c>
      <c r="D30" s="6" t="inlineStr"/>
    </row>
    <row r="31">
      <c r="A31" s="4" t="inlineStr">
        <is>
          <t>Vigenza</t>
        </is>
      </c>
      <c r="B31" s="4" t="inlineStr">
        <is>
          <t>valid_from</t>
        </is>
      </c>
      <c r="C31" s="4" t="inlineStr">
        <is>
          <t>sempre</t>
        </is>
      </c>
      <c r="D31" s="4" t="inlineStr">
        <is>
          <t>Il motore risolve per data di competenza del dato di attivita' (§2.4).</t>
        </is>
      </c>
    </row>
    <row r="32">
      <c r="A32" s="6" t="inlineStr">
        <is>
          <t>Vigenza</t>
        </is>
      </c>
      <c r="B32" s="6" t="inlineStr">
        <is>
          <t>valid_to</t>
        </is>
      </c>
      <c r="C32" s="6" t="inlineStr">
        <is>
          <t>sempre</t>
        </is>
      </c>
      <c r="D32" s="6" t="inlineStr"/>
    </row>
    <row r="33">
      <c r="A33" s="4" t="inlineStr">
        <is>
          <t>Vigenza</t>
        </is>
      </c>
      <c r="B33" s="4" t="inlineStr">
        <is>
          <t>supersedes</t>
        </is>
      </c>
      <c r="C33" s="4" t="inlineStr">
        <is>
          <t>sempre</t>
        </is>
      </c>
      <c r="D33" s="4" t="inlineStr">
        <is>
          <t>factor_id sostituito.</t>
        </is>
      </c>
    </row>
    <row r="34">
      <c r="A34" s="6" t="inlineStr">
        <is>
          <t>Vigenza</t>
        </is>
      </c>
      <c r="B34" s="6" t="inlineStr">
        <is>
          <t>superseded_by</t>
        </is>
      </c>
      <c r="C34" s="6" t="inlineStr">
        <is>
          <t>sempre</t>
        </is>
      </c>
      <c r="D34" s="6" t="inlineStr">
        <is>
          <t>factor_id che sostituisce.</t>
        </is>
      </c>
    </row>
    <row r="35">
      <c r="A35" s="4" t="inlineStr">
        <is>
          <t>Provenienza</t>
        </is>
      </c>
      <c r="B35" s="4" t="inlineStr">
        <is>
          <t>source_org</t>
        </is>
      </c>
      <c r="C35" s="4" t="inlineStr">
        <is>
          <t>sempre</t>
        </is>
      </c>
      <c r="D35" s="4" t="inlineStr"/>
    </row>
    <row r="36">
      <c r="A36" s="6" t="inlineStr">
        <is>
          <t>Provenienza</t>
        </is>
      </c>
      <c r="B36" s="6" t="inlineStr">
        <is>
          <t>source_document</t>
        </is>
      </c>
      <c r="C36" s="6" t="inlineStr">
        <is>
          <t>sempre</t>
        </is>
      </c>
      <c r="D36" s="6" t="inlineStr"/>
    </row>
    <row r="37">
      <c r="A37" s="4" t="inlineStr">
        <is>
          <t>Provenienza</t>
        </is>
      </c>
      <c r="B37" s="4" t="inlineStr">
        <is>
          <t>source_edition</t>
        </is>
      </c>
      <c r="C37" s="4" t="inlineStr">
        <is>
          <t>sempre</t>
        </is>
      </c>
      <c r="D37" s="4" t="inlineStr"/>
    </row>
    <row r="38">
      <c r="A38" s="6" t="inlineStr">
        <is>
          <t>Provenienza</t>
        </is>
      </c>
      <c r="B38" s="6" t="inlineStr">
        <is>
          <t>source_table</t>
        </is>
      </c>
      <c r="C38" s="6" t="inlineStr">
        <is>
          <t>sempre</t>
        </is>
      </c>
      <c r="D38" s="6" t="inlineStr">
        <is>
          <t>Senza tabella e pagina il record non e' ammissibile (§1).</t>
        </is>
      </c>
    </row>
    <row r="39">
      <c r="A39" s="4" t="inlineStr">
        <is>
          <t>Provenienza</t>
        </is>
      </c>
      <c r="B39" s="4" t="inlineStr">
        <is>
          <t>source_page</t>
        </is>
      </c>
      <c r="C39" s="4" t="inlineStr">
        <is>
          <t>sempre</t>
        </is>
      </c>
      <c r="D39" s="4" t="inlineStr"/>
    </row>
    <row r="40">
      <c r="A40" s="6" t="inlineStr">
        <is>
          <t>Provenienza</t>
        </is>
      </c>
      <c r="B40" s="6" t="inlineStr">
        <is>
          <t>source_url</t>
        </is>
      </c>
      <c r="C40" s="6" t="inlineStr">
        <is>
          <t>sempre</t>
        </is>
      </c>
      <c r="D40" s="6" t="inlineStr">
        <is>
          <t>Deve risolversi (gate 2).</t>
        </is>
      </c>
    </row>
    <row r="41">
      <c r="A41" s="4" t="inlineStr">
        <is>
          <t>Provenienza</t>
        </is>
      </c>
      <c r="B41" s="4" t="inlineStr">
        <is>
          <t>retrieval_date</t>
        </is>
      </c>
      <c r="C41" s="4" t="inlineStr">
        <is>
          <t>sempre</t>
        </is>
      </c>
      <c r="D41" s="4" t="inlineStr"/>
    </row>
    <row r="42">
      <c r="A42" s="6" t="inlineStr">
        <is>
          <t>Provenienza</t>
        </is>
      </c>
      <c r="B42" s="6" t="inlineStr">
        <is>
          <t>source_file_sha256</t>
        </is>
      </c>
      <c r="C42" s="6" t="inlineStr">
        <is>
          <t>sempre</t>
        </is>
      </c>
      <c r="D42" s="6" t="inlineStr">
        <is>
          <t>Hash del documento primario archiviato in sources/.</t>
        </is>
      </c>
    </row>
    <row r="43">
      <c r="A43" s="4" t="inlineStr">
        <is>
          <t>Provenienza</t>
        </is>
      </c>
      <c r="B43" s="4" t="inlineStr">
        <is>
          <t>extraction_method</t>
        </is>
      </c>
      <c r="C43" s="4" t="inlineStr">
        <is>
          <t>sempre</t>
        </is>
      </c>
      <c r="D43" s="4" t="inlineStr">
        <is>
          <t>parsed | manual_transcription. Ogni manual_transcription e' T1 (§9).</t>
        </is>
      </c>
    </row>
    <row r="44">
      <c r="A44" s="6" t="inlineStr">
        <is>
          <t>Provenienza</t>
        </is>
      </c>
      <c r="B44" s="6" t="inlineStr">
        <is>
          <t>conversion_applied</t>
        </is>
      </c>
      <c r="C44" s="6" t="inlineStr">
        <is>
          <t>sempre</t>
        </is>
      </c>
      <c r="D44" s="6" t="inlineStr">
        <is>
          <t>Regola dichiarata in taxonomy/units.yaml. 'n/a' se nessuna.</t>
        </is>
      </c>
    </row>
    <row r="45">
      <c r="A45" s="4" t="inlineStr">
        <is>
          <t>Provenienza</t>
        </is>
      </c>
      <c r="B45" s="4" t="inlineStr">
        <is>
          <t>legal_reference</t>
        </is>
      </c>
      <c r="C45" s="4" t="inlineStr">
        <is>
          <t>LIB-01</t>
        </is>
      </c>
      <c r="D45" s="4" t="inlineStr">
        <is>
          <t>Atto, articolo, allegato, tabella, data di entrata in vigore. Nessun record LIB-01 senza (gate 10).</t>
        </is>
      </c>
    </row>
    <row r="46">
      <c r="A46" s="6" t="inlineStr">
        <is>
          <t>Provenienza</t>
        </is>
      </c>
      <c r="B46" s="6" t="inlineStr">
        <is>
          <t>methodology_reference</t>
        </is>
      </c>
      <c r="C46" s="6" t="inlineStr">
        <is>
          <t>LIB-03/04</t>
        </is>
      </c>
      <c r="D46" s="6" t="inlineStr">
        <is>
          <t>Standard, versione, periodo di validita' (gate 11).</t>
        </is>
      </c>
    </row>
    <row r="47">
      <c r="A47" s="4" t="inlineStr">
        <is>
          <t>Licenza</t>
        </is>
      </c>
      <c r="B47" s="4" t="inlineStr">
        <is>
          <t>license_class</t>
        </is>
      </c>
      <c r="C47" s="4" t="inlineStr">
        <is>
          <t>sempre</t>
        </is>
      </c>
      <c r="D47" s="4" t="inlineStr">
        <is>
          <t>VERDE | GIALLO | ROSSO. Indeterminata = ROSSO (§5).</t>
        </is>
      </c>
    </row>
    <row r="48">
      <c r="A48" s="6" t="inlineStr">
        <is>
          <t>Licenza</t>
        </is>
      </c>
      <c r="B48" s="6" t="inlineStr">
        <is>
          <t>license_name</t>
        </is>
      </c>
      <c r="C48" s="6" t="inlineStr">
        <is>
          <t>sempre</t>
        </is>
      </c>
      <c r="D48" s="6" t="inlineStr"/>
    </row>
    <row r="49">
      <c r="A49" s="4" t="inlineStr">
        <is>
          <t>Licenza</t>
        </is>
      </c>
      <c r="B49" s="4" t="inlineStr">
        <is>
          <t>attribution_string</t>
        </is>
      </c>
      <c r="C49" s="4" t="inlineStr">
        <is>
          <t>sempre</t>
        </is>
      </c>
      <c r="D49" s="4" t="inlineStr"/>
    </row>
    <row r="50">
      <c r="A50" s="6" t="inlineStr">
        <is>
          <t>Validazione</t>
        </is>
      </c>
      <c r="B50" s="6" t="inlineStr">
        <is>
          <t>validator</t>
        </is>
      </c>
      <c r="C50" s="6" t="inlineStr">
        <is>
          <t>post-validazione</t>
        </is>
      </c>
      <c r="D50" s="6" t="inlineStr">
        <is>
          <t>Francesco Garbin (CSO). Non delegabile.</t>
        </is>
      </c>
    </row>
    <row r="51">
      <c r="A51" s="4" t="inlineStr">
        <is>
          <t>Validazione</t>
        </is>
      </c>
      <c r="B51" s="4" t="inlineStr">
        <is>
          <t>validation_date</t>
        </is>
      </c>
      <c r="C51" s="4" t="inlineStr">
        <is>
          <t>post-validazione</t>
        </is>
      </c>
      <c r="D51" s="4" t="inlineStr"/>
    </row>
    <row r="52">
      <c r="A52" s="6" t="inlineStr">
        <is>
          <t>Validazione</t>
        </is>
      </c>
      <c r="B52" s="6" t="inlineStr">
        <is>
          <t>validation_note</t>
        </is>
      </c>
      <c r="C52" s="6" t="inlineStr">
        <is>
          <t>post-validazione</t>
        </is>
      </c>
      <c r="D52" s="6" t="inlineStr"/>
    </row>
    <row r="53">
      <c r="A53" s="4" t="inlineStr">
        <is>
          <t>Validazione</t>
        </is>
      </c>
      <c r="B53" s="4" t="inlineStr">
        <is>
          <t>external_audit_ref</t>
        </is>
      </c>
      <c r="C53" s="4" t="inlineStr">
        <is>
          <t>condizionale</t>
        </is>
      </c>
      <c r="D53" s="4" t="inlineStr">
        <is>
          <t>Si cita solo dopo che la verifica esterna e' avvenuta (§11).</t>
        </is>
      </c>
    </row>
    <row r="54">
      <c r="A54" s="6" t="inlineStr">
        <is>
          <t>Validazione</t>
        </is>
      </c>
      <c r="B54" s="6" t="inlineStr">
        <is>
          <t>record_sha256</t>
        </is>
      </c>
      <c r="C54" s="6" t="inlineStr">
        <is>
          <t>sempre</t>
        </is>
      </c>
      <c r="D54" s="6" t="inlineStr">
        <is>
          <t>Calcolato sui campi di valore e provenienza in ordine canonico. Ponte verso il Blockchain Registry.</t>
        </is>
      </c>
    </row>
  </sheetData>
  <autoFilter ref="A4:D54"/>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A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LIB-01 — Coefficienti TEE / GSE. Regime normativo puro: si aggiorna solo per modifica di legge. legal_reference obbligatorio (gate 10). Tutti i record sono T1. Sorveglianza: Gazzetta Ufficiale, portale GSE, ARERA — non la letteratura.</t>
        </is>
      </c>
    </row>
    <row r="5">
      <c r="A5" s="4" t="inlineStr">
        <is>
          <t>LIB01-EE-PRIM-0001</t>
        </is>
      </c>
      <c r="B5" s="4" t="inlineStr">
        <is>
          <t>LIB-01</t>
        </is>
      </c>
      <c r="C5" s="4" t="inlineStr">
        <is>
          <t>0.1</t>
        </is>
      </c>
      <c r="D5" s="4" t="inlineStr">
        <is>
          <t>draft</t>
        </is>
      </c>
      <c r="E5" s="4" t="inlineStr">
        <is>
          <t>Conversione in energia primaria</t>
        </is>
      </c>
      <c r="F5" s="4" t="inlineStr">
        <is>
          <t>Energia elettrica prelevata dalla rete</t>
        </is>
      </c>
      <c r="G5" s="4" t="inlineStr">
        <is>
          <t>[DA VERIFICARE IN FONTE PRIMARIA] trascrivere la dicitura della delibera</t>
        </is>
      </c>
      <c r="H5" s="4" t="inlineStr">
        <is>
          <t>n/a</t>
        </is>
      </c>
      <c r="I5" s="4" t="inlineStr">
        <is>
          <t>n/a</t>
        </is>
      </c>
      <c r="J5" s="4" t="inlineStr">
        <is>
          <t>n/a</t>
        </is>
      </c>
      <c r="K5" s="4" t="inlineStr">
        <is>
          <t>n/a</t>
        </is>
      </c>
      <c r="L5" s="4" t="inlineStr">
        <is>
          <t>n/a</t>
        </is>
      </c>
      <c r="M5" s="4" t="inlineStr">
        <is>
          <t>IT</t>
        </is>
      </c>
      <c r="N5" s="4" t="inlineStr">
        <is>
          <t>Parco termoelettrico nazionale (rendimento medio incorporato)</t>
        </is>
      </c>
      <c r="O5" s="4" t="inlineStr">
        <is>
          <t>n/a</t>
        </is>
      </c>
      <c r="P5" s="4" t="n">
        <v>0.000187</v>
      </c>
      <c r="Q5" s="4" t="inlineStr">
        <is>
          <t>tep</t>
        </is>
      </c>
      <c r="R5" s="4" t="inlineStr">
        <is>
          <t>kWh</t>
        </is>
      </c>
      <c r="S5" s="4" t="inlineStr">
        <is>
          <t>n/a</t>
        </is>
      </c>
      <c r="T5" s="4" t="inlineStr">
        <is>
          <t>n/a</t>
        </is>
      </c>
      <c r="U5" s="4" t="inlineStr">
        <is>
          <t>n/a</t>
        </is>
      </c>
      <c r="V5" s="4" t="inlineStr">
        <is>
          <t>n/a</t>
        </is>
      </c>
      <c r="W5" s="4" t="inlineStr">
        <is>
          <t>n/a</t>
        </is>
      </c>
      <c r="X5" s="4" t="inlineStr">
        <is>
          <t>n/a</t>
        </is>
      </c>
      <c r="Y5" s="4" t="inlineStr">
        <is>
          <t>conversion_factor</t>
        </is>
      </c>
      <c r="Z5" s="4" t="inlineStr"/>
      <c r="AA5" s="4" t="inlineStr">
        <is>
          <t>[DA VERIFICARE IN FONTE PRIMARIA]</t>
        </is>
      </c>
      <c r="AB5" s="4" t="inlineStr"/>
      <c r="AC5" s="4" t="inlineStr">
        <is>
          <t>n/a</t>
        </is>
      </c>
      <c r="AD5" s="4" t="inlineStr">
        <is>
          <t>n/a</t>
        </is>
      </c>
      <c r="AE5" s="4" t="inlineStr">
        <is>
          <t>AEEG (ora ARERA)</t>
        </is>
      </c>
      <c r="AF5" s="4" t="inlineStr">
        <is>
          <t>Delibera EEN 3/08</t>
        </is>
      </c>
      <c r="AG5" s="4" t="inlineStr">
        <is>
          <t>[DA VERIFICARE IN FONTE PRIMARIA]</t>
        </is>
      </c>
      <c r="AH5" s="4" t="inlineStr">
        <is>
          <t>[DA VERIFICARE IN FONTE PRIMARIA]</t>
        </is>
      </c>
      <c r="AI5" s="4" t="inlineStr">
        <is>
          <t>[DA VERIFICARE IN FONTE PRIMARIA]</t>
        </is>
      </c>
      <c r="AJ5" s="4" t="inlineStr">
        <is>
          <t>[DA VERIFICARE IN FONTE PRIMARIA]</t>
        </is>
      </c>
      <c r="AK5" s="4" t="inlineStr"/>
      <c r="AL5" s="4" t="inlineStr">
        <is>
          <t>[DA VERIFICARE IN FONTE PRIMARIA]</t>
        </is>
      </c>
      <c r="AM5" s="4" t="inlineStr">
        <is>
          <t>manual_transcription</t>
        </is>
      </c>
      <c r="AN5" s="4" t="inlineStr">
        <is>
          <t>0,187 x 10^-3 tep/kWh = 0,187 tep/MWh. Equivalenza citata in CLAUDE.md: 1 tep = 5.347,6 kWh_el (reciproco: non usare come record autonomo senza regola in units.yaml).</t>
        </is>
      </c>
      <c r="AO5" s="4" t="inlineStr">
        <is>
          <t>Delibera AEEG EEN 3/08 — [DA VERIFICARE IN FONTE PRIMARIA] articolo, allegato, tabella, data di entrata in vigore</t>
        </is>
      </c>
      <c r="AP5" s="4" t="inlineStr">
        <is>
          <t>n/a</t>
        </is>
      </c>
      <c r="AQ5" s="4" t="inlineStr">
        <is>
          <t>VERDE</t>
        </is>
      </c>
      <c r="AR5" s="4" t="inlineStr">
        <is>
          <t>Atto normativo / provvedimento regolatorio</t>
        </is>
      </c>
      <c r="AS5" s="4" t="inlineStr">
        <is>
          <t>[DA VERIFICARE IN FONTE PRIMARIA]</t>
        </is>
      </c>
      <c r="AT5" s="4" t="inlineStr"/>
      <c r="AU5" s="4" t="inlineStr"/>
      <c r="AV5" s="4" t="inlineStr"/>
      <c r="AW5" s="4" t="inlineStr">
        <is>
          <t>n/a</t>
        </is>
      </c>
      <c r="AX5" s="4" t="inlineStr"/>
      <c r="AY5" s="4" t="inlineStr">
        <is>
          <t>ASIMMETRIA DA NON COLLASSARE (§3 LIB-01): il valore incorpora il rendimento medio del parco termoelettrico nazionale (~46%) — e' un fattore di ENERGIA PRIMARIA, non un'identita' fisica. Non trattarlo come oggetto omogeneo rispetto al tep-&gt;kWh_th. || VERIFICA DI FONTE 21/08/2026 (VF-001): individuato il provvedimento ARERA con titolo corrispondente, sito inaccessibile (GAP-018), data di adozione discordante tra fonti secondarie (CONF-001). Valore NON confermato in fonte primaria: resta draft.</t>
        </is>
      </c>
      <c r="AZ5" s="4" t="inlineStr"/>
      <c r="BA5" s="4" t="inlineStr"/>
    </row>
    <row r="6">
      <c r="A6" s="4" t="inlineStr">
        <is>
          <t>LIB01-GN-PRIM-0002</t>
        </is>
      </c>
      <c r="B6" s="4" t="inlineStr">
        <is>
          <t>LIB-01</t>
        </is>
      </c>
      <c r="C6" s="4" t="inlineStr">
        <is>
          <t>0.1</t>
        </is>
      </c>
      <c r="D6" s="4" t="inlineStr">
        <is>
          <t>draft</t>
        </is>
      </c>
      <c r="E6" s="4" t="inlineStr">
        <is>
          <t>Conversione in energia primaria</t>
        </is>
      </c>
      <c r="F6" s="4" t="inlineStr">
        <is>
          <t>Gas naturale</t>
        </is>
      </c>
      <c r="G6" s="4" t="inlineStr">
        <is>
          <t>[DA VERIFICARE IN FONTE PRIMARIA]</t>
        </is>
      </c>
      <c r="H6" s="4" t="inlineStr">
        <is>
          <t>n/a</t>
        </is>
      </c>
      <c r="I6" s="4" t="inlineStr">
        <is>
          <t>n/a</t>
        </is>
      </c>
      <c r="J6" s="4" t="inlineStr">
        <is>
          <t>n/a</t>
        </is>
      </c>
      <c r="K6" s="4" t="inlineStr">
        <is>
          <t>n/a</t>
        </is>
      </c>
      <c r="L6" s="4" t="inlineStr">
        <is>
          <t>n/a</t>
        </is>
      </c>
      <c r="M6" s="4" t="inlineStr">
        <is>
          <t>IT</t>
        </is>
      </c>
      <c r="N6" s="4" t="inlineStr">
        <is>
          <t>n/a</t>
        </is>
      </c>
      <c r="O6" s="4" t="inlineStr">
        <is>
          <t>n/a</t>
        </is>
      </c>
      <c r="P6" s="4" t="n">
        <v>0.000836</v>
      </c>
      <c r="Q6" s="4" t="inlineStr">
        <is>
          <t>tep</t>
        </is>
      </c>
      <c r="R6" s="4" t="inlineStr">
        <is>
          <t>Sm3</t>
        </is>
      </c>
      <c r="S6" s="4" t="inlineStr">
        <is>
          <t>n/a</t>
        </is>
      </c>
      <c r="T6" s="4" t="inlineStr">
        <is>
          <t>n/a</t>
        </is>
      </c>
      <c r="U6" s="4" t="inlineStr">
        <is>
          <t>n/a</t>
        </is>
      </c>
      <c r="V6" s="4" t="inlineStr">
        <is>
          <t>n/a</t>
        </is>
      </c>
      <c r="W6" s="4" t="inlineStr">
        <is>
          <t>n/a</t>
        </is>
      </c>
      <c r="X6" s="4" t="inlineStr">
        <is>
          <t>n/a</t>
        </is>
      </c>
      <c r="Y6" s="4" t="inlineStr">
        <is>
          <t>conversion_factor</t>
        </is>
      </c>
      <c r="Z6" s="4" t="inlineStr"/>
      <c r="AA6" s="4" t="inlineStr">
        <is>
          <t>[DA VERIFICARE IN FONTE PRIMARIA]</t>
        </is>
      </c>
      <c r="AB6" s="4" t="inlineStr"/>
      <c r="AC6" s="4" t="inlineStr">
        <is>
          <t>n/a</t>
        </is>
      </c>
      <c r="AD6" s="4" t="inlineStr">
        <is>
          <t>n/a</t>
        </is>
      </c>
      <c r="AE6" s="4" t="inlineStr">
        <is>
          <t>[DA VERIFICARE IN FONTE PRIMARIA]</t>
        </is>
      </c>
      <c r="AF6" s="4" t="inlineStr">
        <is>
          <t>Atto non identificato — [DA VERIFICARE IN FONTE PRIMARIA]</t>
        </is>
      </c>
      <c r="AG6" s="4" t="inlineStr">
        <is>
          <t>[DA VERIFICARE IN FONTE PRIMARIA]</t>
        </is>
      </c>
      <c r="AH6" s="4" t="inlineStr">
        <is>
          <t>[DA VERIFICARE IN FONTE PRIMARIA]</t>
        </is>
      </c>
      <c r="AI6" s="4" t="inlineStr">
        <is>
          <t>[DA VERIFICARE IN FONTE PRIMARIA]</t>
        </is>
      </c>
      <c r="AJ6" s="4" t="inlineStr">
        <is>
          <t>[DA VERIFICARE IN FONTE PRIMARIA]</t>
        </is>
      </c>
      <c r="AK6" s="4" t="inlineStr"/>
      <c r="AL6" s="4" t="inlineStr">
        <is>
          <t>[DA VERIFICARE IN FONTE PRIMARIA]</t>
        </is>
      </c>
      <c r="AM6" s="4" t="inlineStr">
        <is>
          <t>manual_transcription</t>
        </is>
      </c>
      <c r="AN6" s="4" t="inlineStr">
        <is>
          <t>Equivalenza citata in CLAUDE.md: 1 tep ~ 1.196 Sm3 (reciproco arrotondato, non usare come record autonomo).</t>
        </is>
      </c>
      <c r="AO6" s="4" t="inlineStr">
        <is>
          <t>[DA VERIFICARE IN FONTE PRIMARIA] nessun record LIB-01 puo' essere rilasciato senza legal_reference (gate 10)</t>
        </is>
      </c>
      <c r="AP6" s="4" t="inlineStr">
        <is>
          <t>n/a</t>
        </is>
      </c>
      <c r="AQ6" s="4" t="inlineStr">
        <is>
          <t>VERDE</t>
        </is>
      </c>
      <c r="AR6" s="4" t="inlineStr">
        <is>
          <t>[DA VERIFICARE IN FONTE PRIMARIA]</t>
        </is>
      </c>
      <c r="AS6" s="4" t="inlineStr">
        <is>
          <t>[DA VERIFICARE IN FONTE PRIMARIA]</t>
        </is>
      </c>
      <c r="AT6" s="4" t="inlineStr"/>
      <c r="AU6" s="4" t="inlineStr"/>
      <c r="AV6" s="4" t="inlineStr"/>
      <c r="AW6" s="4" t="inlineStr">
        <is>
          <t>n/a</t>
        </is>
      </c>
      <c r="AX6" s="4" t="inlineStr"/>
      <c r="AY6" s="4" t="inlineStr">
        <is>
          <t>VERIFICA DI FONTE 21/08/2026 (VF-002): ricerca eseguita, l'atto che fissa il coefficiente NON e' stato identificato. Il valore compare in moduli di conversione di amministrazioni pubbliche, che sono APPLICAZIONI di un coefficiente stabilito altrove, non la fonte che lo stabilisce. Il record non supera i gate 2 e 10: resta draft e fuori da qualunque pacchetto. Se non esiste un atto che lo fissa, la lacuna resta e va dichiarata: e' un esito legittimo.</t>
        </is>
      </c>
      <c r="AZ6" s="4" t="inlineStr"/>
      <c r="BA6" s="4" t="inlineStr"/>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LIB-02 — Conversioni energetiche e parametri di riferimento. Regola dura: i parametri di rendimento (generatori, COP/SCOP, rendimenti di distribuzione, perdite di rete) sono record SEPARATI, mai moltiplicati insieme in un valore precompilato. Il motore combina; la libreria espone i termini singoli.</t>
        </is>
      </c>
    </row>
    <row r="5">
      <c r="A5" s="4" t="inlineStr">
        <is>
          <t>LIB02-TEP-GJ-0001</t>
        </is>
      </c>
      <c r="B5" s="4" t="inlineStr">
        <is>
          <t>LIB-02</t>
        </is>
      </c>
      <c r="C5" s="4" t="inlineStr">
        <is>
          <t>0.1</t>
        </is>
      </c>
      <c r="D5" s="4" t="inlineStr">
        <is>
          <t>draft</t>
        </is>
      </c>
      <c r="E5" s="4" t="inlineStr">
        <is>
          <t>Catena di conversione energetica</t>
        </is>
      </c>
      <c r="F5" s="4" t="inlineStr">
        <is>
          <t>tep -&gt; GJ</t>
        </is>
      </c>
      <c r="G5" s="4" t="inlineStr">
        <is>
          <t>Definizione di tonnellata equivalente di petrolio — [DA VERIFICARE IN FONTE PRIMARIA]</t>
        </is>
      </c>
      <c r="H5" s="4" t="inlineStr">
        <is>
          <t>n/a</t>
        </is>
      </c>
      <c r="I5" s="4" t="inlineStr">
        <is>
          <t>n/a</t>
        </is>
      </c>
      <c r="J5" s="4" t="inlineStr">
        <is>
          <t>n/a</t>
        </is>
      </c>
      <c r="K5" s="4" t="inlineStr">
        <is>
          <t>n/a</t>
        </is>
      </c>
      <c r="L5" s="4" t="inlineStr">
        <is>
          <t>n/a</t>
        </is>
      </c>
      <c r="M5" s="4" t="inlineStr">
        <is>
          <t>n/a (identita' fisica)</t>
        </is>
      </c>
      <c r="N5" s="4" t="inlineStr">
        <is>
          <t>n/a</t>
        </is>
      </c>
      <c r="O5" s="4" t="inlineStr">
        <is>
          <t>n/a</t>
        </is>
      </c>
      <c r="P5" s="4" t="n">
        <v>41.86</v>
      </c>
      <c r="Q5" s="4" t="inlineStr">
        <is>
          <t>GJ</t>
        </is>
      </c>
      <c r="R5" s="4" t="inlineStr">
        <is>
          <t>tep</t>
        </is>
      </c>
      <c r="S5" s="4" t="inlineStr">
        <is>
          <t>n/a</t>
        </is>
      </c>
      <c r="T5" s="4" t="inlineStr">
        <is>
          <t>n/a</t>
        </is>
      </c>
      <c r="U5" s="4" t="inlineStr">
        <is>
          <t>n/a</t>
        </is>
      </c>
      <c r="V5" s="4" t="inlineStr">
        <is>
          <t>n/a</t>
        </is>
      </c>
      <c r="W5" s="4" t="inlineStr">
        <is>
          <t>n/a</t>
        </is>
      </c>
      <c r="X5" s="4" t="inlineStr">
        <is>
          <t>n/a</t>
        </is>
      </c>
      <c r="Y5" s="4" t="inlineStr">
        <is>
          <t>conversion_factor</t>
        </is>
      </c>
      <c r="Z5" s="4" t="inlineStr"/>
      <c r="AA5" s="4" t="inlineStr">
        <is>
          <t>[DA VERIFICARE IN FONTE PRIMARIA]</t>
        </is>
      </c>
      <c r="AB5" s="4" t="inlineStr"/>
      <c r="AC5" s="4" t="inlineStr">
        <is>
          <t>n/a</t>
        </is>
      </c>
      <c r="AD5" s="4" t="inlineStr">
        <is>
          <t>n/a</t>
        </is>
      </c>
      <c r="AE5" s="4" t="inlineStr">
        <is>
          <t>MASE (gia' Ministero delle Attivita' Produttive)</t>
        </is>
      </c>
      <c r="AF5" s="4" t="inlineStr">
        <is>
          <t>D.M. 20 luglio 2004 — [DA VERIFICARE IN FONTE PRIMARIA]</t>
        </is>
      </c>
      <c r="AG5" s="4" t="inlineStr">
        <is>
          <t>[DA VERIFICARE IN FONTE PRIMARIA]</t>
        </is>
      </c>
      <c r="AH5" s="4" t="inlineStr">
        <is>
          <t>[DA VERIFICARE IN FONTE PRIMARIA]</t>
        </is>
      </c>
      <c r="AI5" s="4" t="inlineStr">
        <is>
          <t>[DA VERIFICARE IN FONTE PRIMARIA]</t>
        </is>
      </c>
      <c r="AJ5" s="4" t="inlineStr">
        <is>
          <t>[DA VERIFICARE IN FONTE PRIMARIA]</t>
        </is>
      </c>
      <c r="AK5" s="4" t="inlineStr"/>
      <c r="AL5" s="4" t="inlineStr">
        <is>
          <t>[DA VERIFICARE IN FONTE PRIMARIA]</t>
        </is>
      </c>
      <c r="AM5" s="4" t="inlineStr">
        <is>
          <t>manual_transcription</t>
        </is>
      </c>
      <c r="AN5" s="4" t="inlineStr">
        <is>
          <t>Identita' pura, nessun rendimento incorporato. Equivalenza citata in CLAUDE.md: 1 tep = 11.628 kWh_th (41,860/0,0036).</t>
        </is>
      </c>
      <c r="AO5" s="4" t="inlineStr">
        <is>
          <t>n/a</t>
        </is>
      </c>
      <c r="AP5" s="4" t="inlineStr">
        <is>
          <t>n/a</t>
        </is>
      </c>
      <c r="AQ5" s="4" t="inlineStr">
        <is>
          <t>VERDE</t>
        </is>
      </c>
      <c r="AR5" s="4" t="inlineStr">
        <is>
          <t>[DA VERIFICARE IN FONTE PRIMARIA]</t>
        </is>
      </c>
      <c r="AS5" s="4" t="inlineStr">
        <is>
          <t>[DA VERIFICARE IN FONTE PRIMARIA]</t>
        </is>
      </c>
      <c r="AT5" s="4" t="inlineStr"/>
      <c r="AU5" s="4" t="inlineStr"/>
      <c r="AV5" s="4" t="inlineStr"/>
      <c r="AW5" s="4" t="inlineStr">
        <is>
          <t>n/a</t>
        </is>
      </c>
      <c r="AX5" s="4" t="inlineStr"/>
      <c r="AY5" s="4" t="inlineStr">
        <is>
          <t>DECISIONE DI CLASSIFICAZIONE A GARBIN: CLAUDE.md cita questo valore nella tabella di riferimento di LIB-01, ma §3 LIB-02 assegna a LIB-02 la catena tep&lt;-&gt;GJ&lt;-&gt;kWh&lt;-&gt;Sm3 come identita' pura. Collocato qui in via provvisoria. L'11.628 kWh_th/tep non incorpora alcun rendimento: non e' omogeneo allo 0,187 tep/kWh di LIB-01. || VERIFICA DI FONTE 21/08/2026 (VF-003): candidato primario D.M. 20 luglio 2004, da confermare in GU. CONFLITTO CONF-002 con la definizione IEA/OCSE e la direttiva 2012/27/UE (41,868 GJ -&gt; 11.630 kWh_th). Non risolto.</t>
        </is>
      </c>
      <c r="AZ5" s="4" t="inlineStr"/>
      <c r="BA5" s="4" t="inlineStr"/>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LIB-03 — CarbonSense. Parametri di METODOLOGIA (record_type = methodology_parameter), non fattori: metodologie applicabili, baseline e addizionalita', buffer di non-permanenza, leakage, requisiti di monitoraggio, periodo di accreditamento. Formulazione ammessa: 'tCO2e potenzialmente eleggibili secondo la metodologia X, soggette a validazione e verifica di ente terzo'.</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LIB-04 — Forestale. Come LIB-03, piu' la componente biometrica (curve di accrescimento, densita' basale, fattori di espansione, rapporto radici/parte epigea, frazione di carbonio): sono MODELLI, non fattori. carbon_pool sempre dichiarato (gate 12). Allineare a CREA prima di consolidare la tassonomia. Blue carbon lagunare: pool e parametri propri, NON estensione dei modelli terrestri.</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LIB-05 — Carbon Footprint di organizzazione. Scope 1 (combustione stazionaria e mobile, fuggitive F-gas, processo), Scope 2 (location-based E market-based, teleriscaldamento, vapore — entrambi o assenza dichiarata), Scope 3 (15 categorie, distinte spend-based / average-data / supplier-specific). Disaggregare CO2/CH4/N2O dove la fonte lo fa.</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2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2" t="inlineStr">
        <is>
          <t>IDENTIFICAZIONE</t>
        </is>
      </c>
      <c r="E1" s="12" t="inlineStr">
        <is>
          <t>CLASSIFICAZIONE</t>
        </is>
      </c>
      <c r="P1" s="12" t="inlineStr">
        <is>
          <t>VALORE</t>
        </is>
      </c>
      <c r="Y1" s="12" t="inlineStr">
        <is>
          <t>NATURA DEL RECORD</t>
        </is>
      </c>
      <c r="Z1" s="12" t="inlineStr">
        <is>
          <t>VIGENZA</t>
        </is>
      </c>
      <c r="AE1" s="12" t="inlineStr">
        <is>
          <t>PROVENIENZA</t>
        </is>
      </c>
      <c r="AQ1" s="12" t="inlineStr">
        <is>
          <t>LICENZA</t>
        </is>
      </c>
      <c r="AT1" s="12" t="inlineStr">
        <is>
          <t>VALIDAZIONE</t>
        </is>
      </c>
      <c r="AY1" s="13" t="inlineStr">
        <is>
          <t>CAMPI DI LAVORO (non schema)</t>
        </is>
      </c>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4" t="inlineStr">
        <is>
          <t>NOTA_CURATORE</t>
        </is>
      </c>
      <c r="AZ2" s="14" t="inlineStr">
        <is>
          <t>ESITO</t>
        </is>
      </c>
      <c r="BA2" s="14" t="inlineStr">
        <is>
          <t>NOTA VALIDATORE</t>
        </is>
      </c>
    </row>
    <row r="3" ht="30" customHeight="1">
      <c r="A3" s="15" t="inlineStr">
        <is>
          <t>LIB-06 — Carbon Footprint di prodotto. functional_unit e system_boundary obbligatori e non nullabili: senza questi due campi un PCF non e' confrontabile con nulla. Distinguere dati specifici (EPD verificata, con numero di registrazione e organismo di verifica) da dati generici di background.</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16" customWidth="1" min="1" max="1"/>
    <col width="40" customWidth="1" min="2" max="2"/>
    <col width="56" customWidth="1" min="3" max="3"/>
    <col width="34" customWidth="1" min="4" max="4"/>
    <col width="56" customWidth="1" min="5" max="5"/>
  </cols>
  <sheetData>
    <row r="1" ht="26" customHeight="1">
      <c r="A1" s="1" t="inlineStr">
        <is>
          <t>Semaforo di licenza — gate pre-ingestion (§5)</t>
        </is>
      </c>
    </row>
    <row r="2" ht="16" customHeight="1">
      <c r="A2" s="2" t="inlineStr">
        <is>
          <t>Classificare la fonte PRIMA di scaricare. Licenza non determinabile -&gt; ROSSA per default. Questo gate ha priorita' su completezza e scadenze.</t>
        </is>
      </c>
    </row>
    <row r="4" ht="32" customHeight="1">
      <c r="A4" s="3" t="inlineStr">
        <is>
          <t>Classe</t>
        </is>
      </c>
      <c r="B4" s="3" t="inlineStr">
        <is>
          <t>Regime</t>
        </is>
      </c>
      <c r="C4" s="3" t="inlineStr">
        <is>
          <t>Perimetro</t>
        </is>
      </c>
      <c r="D4" s="3" t="inlineStr">
        <is>
          <t>Azione consentita</t>
        </is>
      </c>
      <c r="E4" s="3" t="inlineStr">
        <is>
          <t>Vincolo</t>
        </is>
      </c>
    </row>
    <row r="5">
      <c r="A5" s="16" t="inlineStr">
        <is>
          <t>VERDE</t>
        </is>
      </c>
      <c r="B5" s="4" t="inlineStr">
        <is>
          <t>Ingestione e redistribuzione con attribuzione</t>
        </is>
      </c>
      <c r="C5" s="4" t="inlineStr">
        <is>
          <t>Dataset pubblici di enti nazionali ed europei sotto licenza aperta; inventari nazionali; linee guida IPCC; atti normativi.</t>
        </is>
      </c>
      <c r="D5" s="4" t="inlineStr">
        <is>
          <t>Ingestione automatica consentita.</t>
        </is>
      </c>
      <c r="E5" s="4" t="inlineStr">
        <is>
          <t>Nessuna.</t>
        </is>
      </c>
    </row>
    <row r="6">
      <c r="A6" s="17" t="inlineStr">
        <is>
          <t>GIALLO</t>
        </is>
      </c>
      <c r="B6" s="6" t="inlineStr">
        <is>
          <t>Uso interno si', redistribuzione da verificare</t>
        </is>
      </c>
      <c r="C6" s="6" t="inlineStr">
        <is>
          <t>Dataset istituzionali con termini non esplicitamente permissivi; EPD singole (uso citazionale); dataset di associazioni di settore.</t>
        </is>
      </c>
      <c r="D6" s="6" t="inlineStr">
        <is>
          <t>Ingestione in sources/quarantine/.</t>
        </is>
      </c>
      <c r="E6" s="6" t="inlineStr">
        <is>
          <t>Nessun record giallo entra in una versione rilasciata senza conferma scritta di Tobia; verifica di Indaco quando i termini sono ambigui.</t>
        </is>
      </c>
    </row>
    <row r="7">
      <c r="A7" s="18" t="inlineStr">
        <is>
          <t>ROSSO</t>
        </is>
      </c>
      <c r="B7" s="4" t="inlineStr">
        <is>
          <t>Divieto assoluto</t>
        </is>
      </c>
      <c r="C7" s="4" t="inlineStr">
        <is>
          <t>Database LCA commerciali; dataset a pagamento di agenzie internazionali; banche dati proprietarie di software LCA; contenuti dietro paywall; EULA che vietino l'uso in prodotti derivati.</t>
        </is>
      </c>
      <c r="D7" s="4" t="inlineStr">
        <is>
          <t>Non scaricare, non estrarre, non citare valori.</t>
        </is>
      </c>
      <c r="E7" s="4" t="inlineStr">
        <is>
          <t>Solo registrazione dell'esistenza in gaps/licensed_sources.md come opzione di licensing, con lacuna coperta e impatto stimato.</t>
        </is>
      </c>
    </row>
    <row r="8">
      <c r="A8" s="18" t="inlineStr">
        <is>
          <t>INDETERMINATA</t>
        </is>
      </c>
      <c r="B8" s="6" t="inlineStr">
        <is>
          <t>Trattata come ROSSA</t>
        </is>
      </c>
      <c r="C8" s="6" t="inlineStr">
        <is>
          <t>Qualunque fonte i cui termini non siano accertabili.</t>
        </is>
      </c>
      <c r="D8" s="6" t="inlineStr">
        <is>
          <t>Nessuna ingestione.</t>
        </is>
      </c>
      <c r="E8" s="6" t="inlineStr">
        <is>
          <t>La contaminazione con dataset non redistribuibili non si sana a valle: la libreria viaggia dentro una licenza commerciale B.R.A.I.N.</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86" customWidth="1" min="3" max="3"/>
    <col width="24" customWidth="1" min="4" max="4"/>
    <col width="40" customWidth="1" min="5" max="5"/>
  </cols>
  <sheetData>
    <row r="1" ht="26" customHeight="1">
      <c r="A1" s="1" t="inlineStr">
        <is>
          <t>Gate di qualita' automatici (§10)</t>
        </is>
      </c>
    </row>
    <row r="2" ht="16" customHeight="1">
      <c r="A2" s="2" t="inlineStr">
        <is>
          <t>Nessun record entra nel pacchetto di validazione senza superarli tutti. I falliti vanno in drafts/flagged/ con motivo.</t>
        </is>
      </c>
    </row>
    <row r="4" ht="32" customHeight="1">
      <c r="A4" s="3" t="inlineStr">
        <is>
          <t>#</t>
        </is>
      </c>
      <c r="B4" s="3" t="inlineStr">
        <is>
          <t>Gate</t>
        </is>
      </c>
      <c r="C4" s="3" t="inlineStr">
        <is>
          <t>Criterio</t>
        </is>
      </c>
      <c r="D4" s="3" t="inlineStr">
        <is>
          <t>Librerie interessate</t>
        </is>
      </c>
      <c r="E4" s="3" t="inlineStr">
        <is>
          <t>Stato al 21/08/2026</t>
        </is>
      </c>
    </row>
    <row r="5">
      <c r="A5" s="4" t="n">
        <v>1</v>
      </c>
      <c r="B5" s="4" t="inlineStr">
        <is>
          <t>Licenza</t>
        </is>
      </c>
      <c r="C5" s="4" t="inlineStr">
        <is>
          <t>Rosso: blocco. Giallo: quarantena.</t>
        </is>
      </c>
      <c r="D5" s="4" t="inlineStr">
        <is>
          <t>Tutte</t>
        </is>
      </c>
      <c r="E5" s="4" t="inlineStr">
        <is>
          <t>Eseguibile</t>
        </is>
      </c>
    </row>
    <row r="6">
      <c r="A6" s="6" t="n">
        <v>2</v>
      </c>
      <c r="B6" s="6" t="inlineStr">
        <is>
          <t>Provenienza completa</t>
        </is>
      </c>
      <c r="C6" s="6" t="inlineStr">
        <is>
          <t>Tutti i campi valorizzati, source_url risolvibile, hash del file corrispondente.</t>
        </is>
      </c>
      <c r="D6" s="6" t="inlineStr">
        <is>
          <t>Tutte</t>
        </is>
      </c>
      <c r="E6" s="18" t="inlineStr">
        <is>
          <t>BLOCCATO — GAP-018</t>
        </is>
      </c>
    </row>
    <row r="7">
      <c r="A7" s="4" t="n">
        <v>3</v>
      </c>
      <c r="B7" s="4" t="inlineStr">
        <is>
          <t>Coerenza dimensionale</t>
        </is>
      </c>
      <c r="C7" s="4" t="inlineStr">
        <is>
          <t>Analisi dimensionale; ogni conversione tracciata e reversibile.</t>
        </is>
      </c>
      <c r="D7" s="4" t="inlineStr">
        <is>
          <t>Tutte</t>
        </is>
      </c>
      <c r="E7" s="18" t="inlineStr">
        <is>
          <t>BLOCCATO — manca units.yaml</t>
        </is>
      </c>
    </row>
    <row r="8">
      <c r="A8" s="6" t="n">
        <v>4</v>
      </c>
      <c r="B8" s="6" t="inlineStr">
        <is>
          <t>Ordine di grandezza</t>
        </is>
      </c>
      <c r="C8" s="6" t="inlineStr">
        <is>
          <t>Confronto con taxonomy/plausibility_ranges.yaml. Fuori range -&gt; SEGNALATO, mai corretto ne' scartato in autonomia.</t>
        </is>
      </c>
      <c r="D8" s="6" t="inlineStr">
        <is>
          <t>Tutte</t>
        </is>
      </c>
      <c r="E8" s="18" t="inlineStr">
        <is>
          <t>BLOCCATO — manca plausibility_ranges.yaml</t>
        </is>
      </c>
    </row>
    <row r="9">
      <c r="A9" s="4" t="n">
        <v>5</v>
      </c>
      <c r="B9" s="4" t="inlineStr">
        <is>
          <t>Delta di versione</t>
        </is>
      </c>
      <c r="C9" s="4" t="inlineStr">
        <is>
          <t>&gt; +/-5% vs versione precedente -&gt; promozione automatica a T1.</t>
        </is>
      </c>
      <c r="D9" s="4" t="inlineStr">
        <is>
          <t>Tutte</t>
        </is>
      </c>
      <c r="E9" s="4" t="inlineStr">
        <is>
          <t>Non applicabile: nessuna versione precedente</t>
        </is>
      </c>
    </row>
    <row r="10">
      <c r="A10" s="6" t="n">
        <v>6</v>
      </c>
      <c r="B10" s="6" t="inlineStr">
        <is>
          <t>Duplicati e conflitti</t>
        </is>
      </c>
      <c r="C10" s="6" t="inlineStr">
        <is>
          <t>Stessa chiave (attivita' + geografia + anno + confine di sistema) da fonti diverse -&gt; 15_Conflitti. Mai risolto dall'agent.</t>
        </is>
      </c>
      <c r="D10" s="6" t="inlineStr">
        <is>
          <t>Tutte</t>
        </is>
      </c>
      <c r="E10" s="6" t="inlineStr">
        <is>
          <t>Eseguibile — 2 conflitti aperti</t>
        </is>
      </c>
    </row>
    <row r="11">
      <c r="A11" s="4" t="n">
        <v>7</v>
      </c>
      <c r="B11" s="4" t="inlineStr">
        <is>
          <t>Coerenza GWP</t>
        </is>
      </c>
      <c r="C11" s="4" t="inlineStr">
        <is>
          <t>Un solo set per versione (gate G1).</t>
        </is>
      </c>
      <c r="D11" s="4" t="inlineStr">
        <is>
          <t>LIB-05, LIB-06</t>
        </is>
      </c>
      <c r="E11" s="4" t="inlineStr">
        <is>
          <t>Non applicabile: nessun record</t>
        </is>
      </c>
    </row>
    <row r="12">
      <c r="A12" s="6" t="n">
        <v>8</v>
      </c>
      <c r="B12" s="6" t="inlineStr">
        <is>
          <t>Scope 2 duale</t>
        </is>
      </c>
      <c r="C12" s="6" t="inlineStr">
        <is>
          <t>Location-based e market-based entrambi presenti o assenza dichiarata.</t>
        </is>
      </c>
      <c r="D12" s="6" t="inlineStr">
        <is>
          <t>LIB-05</t>
        </is>
      </c>
      <c r="E12" s="6" t="inlineStr">
        <is>
          <t>Assenza dichiarata: GAP-009</t>
        </is>
      </c>
    </row>
    <row r="13">
      <c r="A13" s="4" t="n">
        <v>9</v>
      </c>
      <c r="B13" s="4" t="inlineStr">
        <is>
          <t>Confine di sistema</t>
        </is>
      </c>
      <c r="C13" s="4" t="inlineStr">
        <is>
          <t>system_boundary non nullo.</t>
        </is>
      </c>
      <c r="D13" s="4" t="inlineStr">
        <is>
          <t>LIB-03, LIB-04, LIB-06</t>
        </is>
      </c>
      <c r="E13" s="4" t="inlineStr">
        <is>
          <t>Non applicabile: nessun record</t>
        </is>
      </c>
    </row>
    <row r="14">
      <c r="A14" s="6" t="n">
        <v>10</v>
      </c>
      <c r="B14" s="6" t="inlineStr">
        <is>
          <t>Riferimento normativo</t>
        </is>
      </c>
      <c r="C14" s="6" t="inlineStr">
        <is>
          <t>legal_reference non nullo.</t>
        </is>
      </c>
      <c r="D14" s="6" t="inlineStr">
        <is>
          <t>LIB-01</t>
        </is>
      </c>
      <c r="E14" s="18" t="inlineStr">
        <is>
          <t>FALLITO su LIB01-GN-PRIM-0002</t>
        </is>
      </c>
    </row>
    <row r="15">
      <c r="A15" s="4" t="n">
        <v>11</v>
      </c>
      <c r="B15" s="4" t="inlineStr">
        <is>
          <t>Riferimento metodologico</t>
        </is>
      </c>
      <c r="C15" s="4" t="inlineStr">
        <is>
          <t>methodology_reference non nullo.</t>
        </is>
      </c>
      <c r="D15" s="4" t="inlineStr">
        <is>
          <t>LIB-03, LIB-04</t>
        </is>
      </c>
      <c r="E15" s="4" t="inlineStr">
        <is>
          <t>Non applicabile: nessun record</t>
        </is>
      </c>
    </row>
    <row r="16">
      <c r="A16" s="6" t="n">
        <v>12</v>
      </c>
      <c r="B16" s="6" t="inlineStr">
        <is>
          <t>Pool dichiarato</t>
        </is>
      </c>
      <c r="C16" s="6" t="inlineStr">
        <is>
          <t>carbon_pool non nullo.</t>
        </is>
      </c>
      <c r="D16" s="6" t="inlineStr">
        <is>
          <t>LIB-04</t>
        </is>
      </c>
      <c r="E16" s="6" t="inlineStr">
        <is>
          <t>Non applicabile: nessun record</t>
        </is>
      </c>
    </row>
    <row r="17">
      <c r="A17" s="4" t="n">
        <v>13</v>
      </c>
      <c r="B17" s="4" t="inlineStr">
        <is>
          <t>Separazione conversione/assunzione</t>
        </is>
      </c>
      <c r="C17" s="4" t="inlineStr">
        <is>
          <t>Gate G3: nessun conversion_factor con rendimento incorporato.</t>
        </is>
      </c>
      <c r="D17" s="4" t="inlineStr">
        <is>
          <t>LIB-01, LIB-02</t>
        </is>
      </c>
      <c r="E17" s="4" t="inlineStr">
        <is>
          <t>Eseguibile — vedi GAP-003</t>
        </is>
      </c>
    </row>
    <row r="18">
      <c r="A18" s="6" t="n">
        <v>14</v>
      </c>
      <c r="B18" s="6" t="inlineStr">
        <is>
          <t>Riproducibilita'</t>
        </is>
      </c>
      <c r="C18" s="6" t="inlineStr">
        <is>
          <t>Ricalcolo di record_sha256 e verifica.</t>
        </is>
      </c>
      <c r="D18" s="6" t="inlineStr">
        <is>
          <t>Tutte</t>
        </is>
      </c>
      <c r="E18" s="18" t="inlineStr">
        <is>
          <t>BLOCCATO — nessun hash calcolabile senza documento</t>
        </is>
      </c>
    </row>
    <row r="20">
      <c r="A20" s="10" t="inlineStr">
        <is>
          <t>Cinque gate su quattordici sono bloccati dall'assenza di accesso alle fonti primarie o dei file di tassonomia, non da un difetto dei record. Il gate 10 e' invece un fallimento reale su un record: LIB01-GN-PRIM-0002 non ha legal_reference perche' l'atto non e' stato identificato.</t>
        </is>
      </c>
    </row>
    <row r="21"/>
    <row r="22"/>
  </sheetData>
  <mergeCells count="3">
    <mergeCell ref="A2:E2"/>
    <mergeCell ref="A1:E1"/>
    <mergeCell ref="A20:E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8" customWidth="1" min="1" max="1"/>
    <col width="34" customWidth="1" min="2" max="2"/>
    <col width="52" customWidth="1" min="3" max="3"/>
    <col width="52" customWidth="1" min="4" max="4"/>
    <col width="62" customWidth="1" min="5" max="5"/>
  </cols>
  <sheetData>
    <row r="1" ht="26" customHeight="1">
      <c r="A1" s="1" t="inlineStr">
        <is>
          <t>Gate trasversali di calcolo G1-G3 (§8)</t>
        </is>
      </c>
    </row>
    <row r="2" ht="16" customHeight="1">
      <c r="A2" s="2" t="inlineStr">
        <is>
          <t>L'agent li segnala e ne verifica la presenza a ogni rilascio; il motore li applica. Da documentare in docs/cross_library_gates.md.</t>
        </is>
      </c>
    </row>
    <row r="4" ht="32" customHeight="1">
      <c r="A4" s="3" t="inlineStr">
        <is>
          <t>ID</t>
        </is>
      </c>
      <c r="B4" s="3" t="inlineStr">
        <is>
          <t>Gate</t>
        </is>
      </c>
      <c r="C4" s="3" t="inlineStr">
        <is>
          <t>Regola</t>
        </is>
      </c>
      <c r="D4" s="3" t="inlineStr">
        <is>
          <t>Perche' conta</t>
        </is>
      </c>
      <c r="E4" s="3" t="inlineStr">
        <is>
          <t>Attuazione</t>
        </is>
      </c>
    </row>
    <row r="5">
      <c r="A5" s="4" t="inlineStr">
        <is>
          <t>G1</t>
        </is>
      </c>
      <c r="B5" s="4" t="inlineStr">
        <is>
          <t>Set GWP unico per calcolo</t>
        </is>
      </c>
      <c r="C5" s="4" t="inlineStr">
        <is>
          <t>Il set GWP e' parametro GLOBALE del calcolo, risolto per anno di rendicontazione, non attributo di libreria.</t>
        </is>
      </c>
      <c r="D5" s="4" t="inlineStr">
        <is>
          <t>Se un calcolo combina LIB-05 e LIB-06 con set diversi, la somma non e' additiva e il totale e' errato.</t>
        </is>
      </c>
      <c r="E5" s="4" t="inlineStr">
        <is>
          <t>Segnalare ogni record il cui gwp_set diverga da quello prevalente nella versione.</t>
        </is>
      </c>
    </row>
    <row r="6">
      <c r="A6" s="6" t="inlineStr">
        <is>
          <t>G2</t>
        </is>
      </c>
      <c r="B6" s="6" t="inlineStr">
        <is>
          <t>Mutua esclusione TEE / crediti di carbonio</t>
        </is>
      </c>
      <c r="C6" s="6" t="inlineStr">
        <is>
          <t>Lo stesso intervento non puo' generare simultaneamente TEE e crediti di carbonio volontari senza doppio conteggio.</t>
        </is>
      </c>
      <c r="D6" s="6" t="inlineStr">
        <is>
          <t>Scenario di rischio piu' serio del Layer 3: se il motore seleziona la libreria dall'input, puo' produrre entrambi in silenzio, minando la credibilita' dell'asset venduto.</t>
        </is>
      </c>
      <c r="E6" s="6" t="inlineStr">
        <is>
          <t>Flag di esclusivita' a livello di PROGETTO, verificato prima dell'emissione di qualunque output di monetizzazione. L'agent non lo implementa: lo documenta e ne verifica la presenza.</t>
        </is>
      </c>
    </row>
    <row r="7">
      <c r="A7" s="4" t="inlineStr">
        <is>
          <t>G3</t>
        </is>
      </c>
      <c r="B7" s="4" t="inlineStr">
        <is>
          <t>Separazione conversione / assunzione</t>
        </is>
      </c>
      <c r="C7" s="4" t="inlineStr">
        <is>
          <t>Nessun record con record_type = conversion_factor puo' contenere un rendimento incorporato.</t>
        </is>
      </c>
      <c r="D7" s="4" t="inlineStr">
        <is>
          <t>Un'assunzione ingegneristica che viaggia come costante non e' ricostruibile a ritroso da un auditor.</t>
        </is>
      </c>
      <c r="E7" s="4" t="inlineStr">
        <is>
          <t>Verifica automatica su LIB-01 e LIB-02: qualunque valore che si discosti dall'identita' fisica attesa senza conversion_applied esplicito e' bloccato e segnalato.</t>
        </is>
      </c>
    </row>
    <row r="9">
      <c r="A9" s="10" t="inlineStr">
        <is>
          <t>APPLICAZIONE CORRENTE DI G3. Il caso concreto e' il valore di 12.500 kWh_th/tep circolante internamente: corrisponde a 11.628 diviso un rendimento di riferimento di circa 0,93. Non e' un fattore di conversione, e' un'assunzione di rendimento. Non e' stato inserito come record: e' GAP-003. Inserirlo come costante sarebbe esattamente cio' che G3 esiste per impedire.</t>
        </is>
      </c>
    </row>
    <row r="10"/>
    <row r="11"/>
  </sheetData>
  <mergeCells count="3">
    <mergeCell ref="A2:E2"/>
    <mergeCell ref="A1:E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workbookViewId="0">
      <pane ySplit="4" topLeftCell="A5" activePane="bottomLeft" state="frozen"/>
      <selection pane="bottomLeft" activeCell="A1" sqref="A1"/>
    </sheetView>
  </sheetViews>
  <sheetFormatPr baseColWidth="8" defaultRowHeight="15"/>
  <cols>
    <col width="22" customWidth="1" min="1" max="1"/>
    <col width="110" customWidth="1" min="2" max="2"/>
    <col width="46" customWidth="1" min="3" max="3"/>
  </cols>
  <sheetData>
    <row r="1" ht="26" customHeight="1">
      <c r="A1" s="1" t="inlineStr">
        <is>
          <t>Pacchetto di validazione per il CSO (§9)</t>
        </is>
      </c>
    </row>
    <row r="2" ht="16" customHeight="1">
      <c r="A2" s="2" t="inlineStr">
        <is>
          <t>Tetto rigido: 50 record per pacchetto. Oltre -&gt; pacchetti sequenziali per materialita'. Il tempo del CSO e' il collo di bottiglia reale.</t>
        </is>
      </c>
    </row>
    <row r="4" ht="32" customHeight="1">
      <c r="A4" s="3" t="inlineStr">
        <is>
          <t>Tier</t>
        </is>
      </c>
      <c r="B4" s="3" t="inlineStr">
        <is>
          <t>Criterio</t>
        </is>
      </c>
      <c r="C4" s="3" t="inlineStr">
        <is>
          <t>Regime</t>
        </is>
      </c>
    </row>
    <row r="5">
      <c r="A5" s="4" t="inlineStr">
        <is>
          <t>T1</t>
        </is>
      </c>
      <c r="B5" s="4" t="inlineStr">
        <is>
          <t>Tutti i record LIB-01; tutti i manual_transcription; tutti i methodology_parameter; fattori ad alta materialita' (elettricita' nazionale, gas naturale, gasolio); delta &gt; +/-5% vs versione precedente</t>
        </is>
      </c>
      <c r="C5" s="4" t="inlineStr">
        <is>
          <t>Validazione puntuale, record per record</t>
        </is>
      </c>
    </row>
    <row r="6">
      <c r="A6" s="6" t="inlineStr">
        <is>
          <t>T2</t>
        </is>
      </c>
      <c r="B6" s="6" t="inlineStr">
        <is>
          <t>Uso ricorrente non dominante</t>
        </is>
      </c>
      <c r="C6" s="6" t="inlineStr">
        <is>
          <t>Campione minimo 20%, scelto da Garbin</t>
        </is>
      </c>
    </row>
    <row r="7">
      <c r="A7" s="4" t="inlineStr">
        <is>
          <t>T3</t>
        </is>
      </c>
      <c r="B7" s="4" t="inlineStr">
        <is>
          <t>Coda lunga</t>
        </is>
      </c>
      <c r="C7" s="4" t="inlineStr">
        <is>
          <t>Per eccezione: solo i record segnalati dai gate</t>
        </is>
      </c>
    </row>
    <row r="10">
      <c r="A10" s="8" t="inlineStr">
        <is>
          <t>Contenuto di validation/ATL_OPS_EF_Pacchetto_&lt;LIB&gt;_&lt;versione&gt;/</t>
        </is>
      </c>
    </row>
    <row r="11" ht="32" customHeight="1">
      <c r="A11" s="3" t="inlineStr">
        <is>
          <t>Elemento</t>
        </is>
      </c>
      <c r="B11" s="3" t="inlineStr">
        <is>
          <t>Contenuto</t>
        </is>
      </c>
    </row>
    <row r="12">
      <c r="A12" s="6" t="inlineStr">
        <is>
          <t>sintesi.md</t>
        </is>
      </c>
      <c r="B12" s="6" t="inlineStr">
        <is>
          <t>Una pagina: cosa cambia, perche', quali gate hanno segnalato, quali decisioni servono, quali lacune restano</t>
        </is>
      </c>
    </row>
    <row r="13">
      <c r="A13" s="4" t="inlineStr">
        <is>
          <t>diff.xlsx</t>
        </is>
      </c>
      <c r="B13" s="4" t="inlineStr">
        <is>
          <t>Un foglio per tier, provenienza sempre visibile accanto al valore, colonne ESITO e NOTA VALIDATORE vuote</t>
        </is>
      </c>
    </row>
    <row r="14">
      <c r="A14" s="6" t="inlineStr">
        <is>
          <t>conflitti.md</t>
        </is>
      </c>
      <c r="B14" s="6" t="inlineStr">
        <is>
          <t>Fonti divergenti sulla stessa chiave: entrambi i valori con provenienza, richiesta di gerarchia. Mai risolto dall'agent</t>
        </is>
      </c>
    </row>
    <row r="15">
      <c r="A15" s="4" t="inlineStr">
        <is>
          <t>gaps.md</t>
        </is>
      </c>
      <c r="B15" s="4" t="inlineStr">
        <is>
          <t>Fabbisogni scoperti e fonti tentate</t>
        </is>
      </c>
    </row>
    <row r="16">
      <c r="A16" s="6" t="inlineStr">
        <is>
          <t>sources/</t>
        </is>
      </c>
      <c r="B16" s="6" t="inlineStr">
        <is>
          <t>Documenti primari con hash</t>
        </is>
      </c>
    </row>
    <row r="18">
      <c r="A18" s="11" t="inlineStr">
        <is>
          <t>STATO: NESSUN PACCHETTO COMPONIBILE. I tre record esistenti sono tutti T1 (LIB-01 e manual_transcription), ma nessuno supera il gate 2: un pacchetto composto ora chiederebbe a Garbin di validare valori privi di provenienza, cioe' di firmare cio' che il §1 vieta di produrre. Il pacchetto si compone dopo la verifica di fonte, non prima.</t>
        </is>
      </c>
    </row>
    <row r="19"/>
    <row r="20"/>
  </sheetData>
  <mergeCells count="3">
    <mergeCell ref="A1:C1"/>
    <mergeCell ref="A18:C20"/>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56" customWidth="1" min="3" max="3"/>
    <col width="66" customWidth="1" min="4" max="4"/>
    <col width="40" customWidth="1" min="5" max="5"/>
    <col width="30" customWidth="1" min="6" max="6"/>
  </cols>
  <sheetData>
    <row r="1" ht="26" customHeight="1">
      <c r="A1" s="1" t="inlineStr">
        <is>
          <t>Lacune aperte (§1) — la lacuna dichiarata e' un deliverable</t>
        </is>
      </c>
    </row>
    <row r="2" ht="16" customHeight="1">
      <c r="A2" s="2" t="inlineStr">
        <is>
          <t>Il numero plausibile ma non tracciato e' un difetto di prodotto dentro un motore che si dichiara deterministico.</t>
        </is>
      </c>
    </row>
    <row r="4" ht="32" customHeight="1">
      <c r="A4" s="3" t="inlineStr">
        <is>
          <t>ID</t>
        </is>
      </c>
      <c r="B4" s="3" t="inlineStr">
        <is>
          <t>Libreria</t>
        </is>
      </c>
      <c r="C4" s="3" t="inlineStr">
        <is>
          <t>Lacuna</t>
        </is>
      </c>
      <c r="D4" s="3" t="inlineStr">
        <is>
          <t>Azione richiesta / vincolo</t>
        </is>
      </c>
      <c r="E4" s="3" t="inlineStr">
        <is>
          <t>Impatto</t>
        </is>
      </c>
      <c r="F4" s="3" t="inlineStr">
        <is>
          <t>Stato</t>
        </is>
      </c>
    </row>
    <row r="5">
      <c r="A5" s="4" t="inlineStr">
        <is>
          <t>GAP-001</t>
        </is>
      </c>
      <c r="B5" s="4" t="inlineStr">
        <is>
          <t>LIB-01</t>
        </is>
      </c>
      <c r="C5" s="4" t="inlineStr">
        <is>
          <t>Decreto certificati bianchi 2025: modifica di vita utile degli interventi e regole di raggruppamento dei progetti. LEAD INDIVIDUATO (fonti secondarie, da confermare): D.M. MASE 21 luglio 2025, GU n. 211 dell'11 settembre 2025, applicabile ai progetti presentati dal 12 settembre 2025. Vedi VF-004.</t>
        </is>
      </c>
      <c r="D5" s="4" t="inlineStr">
        <is>
          <t>Verificare il testo in Gazzetta Ufficiale e mappare tutti i record impattati prima di consolidare LIB-01. Non recepire da fonti secondarie. ESCALATION A TOBIA: se confermato l'aggiornamento e' strutturale, non di singoli record (§14).</t>
        </is>
      </c>
      <c r="E5" s="4" t="inlineStr">
        <is>
          <t>Bloccante per il consolidamento di LIB-01</t>
        </is>
      </c>
      <c r="F5" s="4" t="inlineStr">
        <is>
          <t>Aperta — priorita' 1</t>
        </is>
      </c>
    </row>
    <row r="6">
      <c r="A6" s="6" t="inlineStr">
        <is>
          <t>GAP-002</t>
        </is>
      </c>
      <c r="B6" s="6" t="inlineStr">
        <is>
          <t>LIB-01</t>
        </is>
      </c>
      <c r="C6" s="6" t="inlineStr">
        <is>
          <t>legal_reference incompleto per il coefficiente gas naturale 0,000836 tep/Sm3. Ricerca eseguita: l'atto che lo fissa NON e' stato identificato. Il valore compare in moduli applicativi di enti pubblici, che non sono fonte primaria. Vedi VF-002.</t>
        </is>
      </c>
      <c r="D6" s="6" t="inlineStr">
        <is>
          <t>Identificare l'atto. Se non esiste un atto che fissa il coefficiente, dichiarare la lacuna: e' un esito legittimo.</t>
        </is>
      </c>
      <c r="E6" s="6" t="inlineStr">
        <is>
          <t>Il record non supera i gate 2 e 10: fuori pacchetto</t>
        </is>
      </c>
      <c r="F6" s="6" t="inlineStr">
        <is>
          <t>Aperta</t>
        </is>
      </c>
    </row>
    <row r="7">
      <c r="A7" s="4" t="inlineStr">
        <is>
          <t>GAP-003</t>
        </is>
      </c>
      <c r="B7" s="4" t="inlineStr">
        <is>
          <t>LIB-01 / LIB-02</t>
        </is>
      </c>
      <c r="C7" s="4" t="inlineStr">
        <is>
          <t>Rendimento di generazione di riferimento ~0,93 (implicito nel valore errato di 12.500 kWh_th/tep)</t>
        </is>
      </c>
      <c r="D7" s="4" t="inlineStr">
        <is>
          <t>NON inserito come record: e' un'assunzione di rendimento senza fonte primaria identificata. Va reperito nella scheda/guida GSE applicabile e censito come reference_parameter separato, mai incorporato in un coefficiente di conversione (gate G3).</t>
        </is>
      </c>
      <c r="E7" s="4" t="inlineStr">
        <is>
          <t>Rischio di doppio conteggio del rendimento nei risparmi in tep</t>
        </is>
      </c>
      <c r="F7" s="4" t="inlineStr">
        <is>
          <t>Aperta</t>
        </is>
      </c>
    </row>
    <row r="8">
      <c r="A8" s="6" t="inlineStr">
        <is>
          <t>GAP-004</t>
        </is>
      </c>
      <c r="B8" s="6" t="inlineStr">
        <is>
          <t>LIB-01</t>
        </is>
      </c>
      <c r="C8" s="6" t="inlineStr">
        <is>
          <t>Coefficienti per gli altri vettori ammessi; parametri CAR; regole di addizionalita' e baseline per tipologia di progetto; vita utile e coefficienti di durabilita'; soglie minime di accesso; modalita' procedurali</t>
        </is>
      </c>
      <c r="D8" s="6" t="inlineStr">
        <is>
          <t>Copertura non avviata. Fonte: Guida Operativa GSE vigente e allegati (VF-005).</t>
        </is>
      </c>
      <c r="E8" s="6" t="inlineStr">
        <is>
          <t>LIB-01 non utilizzabile oltre i vettori elettrico e gas</t>
        </is>
      </c>
      <c r="F8" s="6" t="inlineStr">
        <is>
          <t>Aperta</t>
        </is>
      </c>
    </row>
    <row r="9">
      <c r="A9" s="4" t="inlineStr">
        <is>
          <t>GAP-005</t>
        </is>
      </c>
      <c r="B9" s="4" t="inlineStr">
        <is>
          <t>LIB-02</t>
        </is>
      </c>
      <c r="C9" s="4" t="inlineStr">
        <is>
          <t>PCI dei combustibili da tabelle ufficiali (edizione e anno) e parametri di rendimento di riferimento (generatori per tipologia e vetusta', COP/SCOP, rendimenti di distribuzione, perdite di rete)</t>
        </is>
      </c>
      <c r="D9" s="4" t="inlineStr">
        <is>
          <t>Copertura non avviata. Ogni parametro richiede fonte e ambito di applicabilita' dichiarati, come record separato.</t>
        </is>
      </c>
      <c r="E9" s="4" t="inlineStr">
        <is>
          <t>Diagnosi UNI CEI 11339 e Digital Twin non coperti</t>
        </is>
      </c>
      <c r="F9" s="4" t="inlineStr">
        <is>
          <t>Aperta</t>
        </is>
      </c>
    </row>
    <row r="10">
      <c r="A10" s="6" t="inlineStr">
        <is>
          <t>GAP-006</t>
        </is>
      </c>
      <c r="B10" s="6" t="inlineStr">
        <is>
          <t>LIB-03</t>
        </is>
      </c>
      <c r="C10" s="6" t="inlineStr">
        <is>
          <t>Metodologie applicabili per tipologia di intervento, con standard, versione e periodo di validita'; criteri di baseline e addizionalita'; buffer di non-permanenza; detrazioni per leakage; requisiti di monitoraggio; periodo di accreditamento</t>
        </is>
      </c>
      <c r="D10" s="6" t="inlineStr">
        <is>
          <t>Copertura non avviata. I requisiti di monitoraggio determinano le specifiche del sensore CarbonSense, non viceversa.</t>
        </is>
      </c>
      <c r="E10" s="6" t="inlineStr">
        <is>
          <t>Aggancio CarbonSense-metodologia non formalizzato</t>
        </is>
      </c>
      <c r="F10" s="6" t="inlineStr">
        <is>
          <t>Aperta</t>
        </is>
      </c>
    </row>
    <row r="11">
      <c r="A11" s="4" t="inlineStr">
        <is>
          <t>GAP-007</t>
        </is>
      </c>
      <c r="B11" s="4" t="inlineStr">
        <is>
          <t>LIB-04</t>
        </is>
      </c>
      <c r="C11" s="4" t="inlineStr">
        <is>
          <t>Curve di accrescimento e tavole alfa-metriche per specie e stazione; densita' basale; fattori di espansione; rapporto radici/parte epigea; frazione di carbonio; parametri di non-permanenza e rischio di reversibilita'; requisiti dei registri nazionali</t>
        </is>
      </c>
      <c r="D11" s="4" t="inlineStr">
        <is>
          <t>Copertura non avviata. Da allineare al tavolo CREA PRIMA di consolidare la tassonomia, non dopo.</t>
        </is>
      </c>
      <c r="E11" s="4" t="inlineStr">
        <is>
          <t>Nessuna stima forestale producibile in modo tracciabile</t>
        </is>
      </c>
      <c r="F11" s="4" t="inlineStr">
        <is>
          <t>Aperta — dipende da CREA</t>
        </is>
      </c>
    </row>
    <row r="12">
      <c r="A12" s="6" t="inlineStr">
        <is>
          <t>GAP-008</t>
        </is>
      </c>
      <c r="B12" s="6" t="inlineStr">
        <is>
          <t>LIB-04</t>
        </is>
      </c>
      <c r="C12" s="6" t="inlineStr">
        <is>
          <t>Blue carbon lagunare: pool e parametri propri</t>
        </is>
      </c>
      <c r="D12" s="6" t="inlineStr">
        <is>
          <t>Non e' un'estensione dei modelli forestali terrestri: richiede tassonomia dedicata.</t>
        </is>
      </c>
      <c r="E12" s="6" t="inlineStr">
        <is>
          <t>Perimetro da definire prima di qualunque impegno commerciale</t>
        </is>
      </c>
      <c r="F12" s="6" t="inlineStr">
        <is>
          <t>Aperta</t>
        </is>
      </c>
    </row>
    <row r="13">
      <c r="A13" s="4" t="inlineStr">
        <is>
          <t>GAP-009</t>
        </is>
      </c>
      <c r="B13" s="4" t="inlineStr">
        <is>
          <t>LIB-05</t>
        </is>
      </c>
      <c r="C13" s="4" t="inlineStr">
        <is>
          <t>Scope 2 market-based (residual mix) per le geografie coperte</t>
        </is>
      </c>
      <c r="D13" s="4" t="inlineStr">
        <is>
          <t>Il gate 8 impone location-based e market-based entrambi presenti, o assenza dichiarata qui.</t>
        </is>
      </c>
      <c r="E13" s="4" t="inlineStr">
        <is>
          <t>Rendicontazione Scope 2 incompleta</t>
        </is>
      </c>
      <c r="F13" s="4" t="inlineStr">
        <is>
          <t>Aperta — assenza dichiarata</t>
        </is>
      </c>
    </row>
    <row r="14">
      <c r="A14" s="6" t="inlineStr">
        <is>
          <t>GAP-010</t>
        </is>
      </c>
      <c r="B14" s="6" t="inlineStr">
        <is>
          <t>LIB-05</t>
        </is>
      </c>
      <c r="C14" s="6" t="inlineStr">
        <is>
          <t>Scope 1 (combustione stazionaria e mobile, fuggitive F-gas, processo) e Scope 3 (15 categorie, distinte spend-based / average-data / supplier-specific)</t>
        </is>
      </c>
      <c r="D14" s="6" t="inlineStr">
        <is>
          <t>Copertura non avviata. Fonte gerarchicamente prevalente per l'Italia: inventario nazionale ISPRA.</t>
        </is>
      </c>
      <c r="E14" s="6" t="inlineStr">
        <is>
          <t>Nessun inventario di organizzazione producibile</t>
        </is>
      </c>
      <c r="F14" s="6" t="inlineStr">
        <is>
          <t>Aperta</t>
        </is>
      </c>
    </row>
    <row r="15">
      <c r="A15" s="4" t="inlineStr">
        <is>
          <t>GAP-011</t>
        </is>
      </c>
      <c r="B15" s="4" t="inlineStr">
        <is>
          <t>LIB-06</t>
        </is>
      </c>
      <c r="C15" s="4" t="inlineStr">
        <is>
          <t>PCR applicabili e dati di background per prodotti da costruzione (prima priorita' di pipeline)</t>
        </is>
      </c>
      <c r="D15" s="4" t="inlineStr">
        <is>
          <t>Copertura non avviata.</t>
        </is>
      </c>
      <c r="E15" s="4" t="inlineStr">
        <is>
          <t>PCF non producibili</t>
        </is>
      </c>
      <c r="F15" s="4" t="inlineStr">
        <is>
          <t>Aperta</t>
        </is>
      </c>
    </row>
    <row r="16">
      <c r="A16" s="6" t="inlineStr">
        <is>
          <t>GAP-012</t>
        </is>
      </c>
      <c r="B16" s="6" t="inlineStr">
        <is>
          <t>LIB-06</t>
        </is>
      </c>
      <c r="C16" s="6" t="inlineStr">
        <is>
          <t>Dati di background LCA di qualita' — in gran parte a licenza commerciale</t>
        </is>
      </c>
      <c r="D16" s="6" t="inlineStr">
        <is>
          <t>Licenza ROSSA (§5): non scaricare, non estrarre, non citare valori. Registrare in gaps/licensed_sources.md come opzione di licensing con costo, lacuna coperta e impatto sui clienti attivi, poi ESCALATION a Tobia (§14).</t>
        </is>
      </c>
      <c r="E16" s="6" t="inlineStr">
        <is>
          <t>Limite strutturale alla copertura LIB-06 senza acquisto di licenza</t>
        </is>
      </c>
      <c r="F16" s="6" t="inlineStr">
        <is>
          <t>Aperta — decisione di Tobia</t>
        </is>
      </c>
    </row>
    <row r="17">
      <c r="A17" s="4" t="inlineStr">
        <is>
          <t>GAP-013</t>
        </is>
      </c>
      <c r="B17" s="4" t="inlineStr">
        <is>
          <t>Trasversale</t>
        </is>
      </c>
      <c r="C17" s="4" t="inlineStr">
        <is>
          <t>Tassonomia: activities.yaml, units.yaml, plausibility_ranges.yaml, source_hierarchy.yaml, carbon_pools.yaml</t>
        </is>
      </c>
      <c r="D17" s="4" t="inlineStr">
        <is>
          <t>Non creati. Senza units.yaml nessuna conversione e' ammissibile (§1); senza source_hierarchy.yaml registrata da Garbin l'agent non puo' applicare alcuna gerarchia (§4).</t>
        </is>
      </c>
      <c r="E17" s="4" t="inlineStr">
        <is>
          <t>Blocca i gate 3, 4 e 6 e ogni ingestione</t>
        </is>
      </c>
      <c r="F17" s="4" t="inlineStr">
        <is>
          <t>Aperta</t>
        </is>
      </c>
    </row>
    <row r="18">
      <c r="A18" s="6" t="inlineStr">
        <is>
          <t>GAP-014</t>
        </is>
      </c>
      <c r="B18" s="6" t="inlineStr">
        <is>
          <t>Trasversale</t>
        </is>
      </c>
      <c r="C18" s="6" t="inlineStr">
        <is>
          <t>sources/watchlist.yaml e release_calendar.yaml</t>
        </is>
      </c>
      <c r="D18" s="6" t="inlineStr">
        <is>
          <t>Non creati. Il calendario va costruito empiricamente dallo storico di ogni fonte, distinguendo date confermate da date attese. Non assumere date non verificate.</t>
        </is>
      </c>
      <c r="E18" s="6" t="inlineStr">
        <is>
          <t>Modalita' A (sorveglianza settimanale) non eseguibile</t>
        </is>
      </c>
      <c r="F18" s="6" t="inlineStr">
        <is>
          <t>Aperta</t>
        </is>
      </c>
    </row>
    <row r="19">
      <c r="A19" s="4" t="inlineStr">
        <is>
          <t>GAP-015</t>
        </is>
      </c>
      <c r="B19" s="4" t="inlineStr">
        <is>
          <t>Trasversale</t>
        </is>
      </c>
      <c r="C19" s="4" t="inlineStr">
        <is>
          <t>docs/resolution_policy.md e docs/cross_library_gates.md</t>
        </is>
      </c>
      <c r="D19" s="4" t="inlineStr">
        <is>
          <t>Non creati. La resolution policy e' la condizione di riproducibilita' in verifica di terza parte (§2.4).</t>
        </is>
      </c>
      <c r="E19" s="4" t="inlineStr">
        <is>
          <t>Verifica di terza parte non superabile</t>
        </is>
      </c>
      <c r="F19" s="4" t="inlineStr">
        <is>
          <t>Aperta</t>
        </is>
      </c>
    </row>
    <row r="20">
      <c r="A20" s="6" t="inlineStr">
        <is>
          <t>GAP-016</t>
        </is>
      </c>
      <c r="B20" s="6" t="inlineStr">
        <is>
          <t>Trasversale</t>
        </is>
      </c>
      <c r="C20" s="6" t="inlineStr">
        <is>
          <t>Lista T1 di materialita' calcolata sui calcoli effettivamente eseguiti in portafoglio</t>
        </is>
      </c>
      <c r="D20" s="6" t="inlineStr">
        <is>
          <t>Con il portafoglio attuale l'insieme e' determinabile manualmente: il §9 prescrive di farlo ora, finche' e' possibile.</t>
        </is>
      </c>
      <c r="E20" s="6" t="inlineStr">
        <is>
          <t>Senza lista T1 il regime di validazione non e' assegnabile</t>
        </is>
      </c>
      <c r="F20" s="6" t="inlineStr">
        <is>
          <t>Aperta</t>
        </is>
      </c>
    </row>
    <row r="21">
      <c r="A21" s="4" t="inlineStr">
        <is>
          <t>GAP-017</t>
        </is>
      </c>
      <c r="B21" s="4" t="inlineStr">
        <is>
          <t>Trasversale</t>
        </is>
      </c>
      <c r="C21" s="4" t="inlineStr">
        <is>
          <t>docs/changelog.md — registro dello sforzo di curazione dal primo commit</t>
        </is>
      </c>
      <c r="D21" s="4" t="inlineStr">
        <is>
          <t>Avviato nel foglio 19_Changelog_curazione. Da riversare in docs/changelog.md e mantenere. Ore, record lavorati, fonti verificate, conflitti: ricostruirlo a posteriori non e' possibile (§15).</t>
        </is>
      </c>
      <c r="E21" s="4" t="inlineStr">
        <is>
          <t>Prova d'investimento per il diritto sui generis sulla banca dati</t>
        </is>
      </c>
      <c r="F21" s="4" t="inlineStr">
        <is>
          <t>In lavorazione</t>
        </is>
      </c>
    </row>
    <row r="22">
      <c r="A22" s="6" t="inlineStr">
        <is>
          <t>GAP-018</t>
        </is>
      </c>
      <c r="B22" s="6" t="inlineStr">
        <is>
          <t>Trasversale</t>
        </is>
      </c>
      <c r="C22" s="6" t="inlineStr">
        <is>
          <t>Accesso alle fonti primarie bloccato dalla policy di egress: arera.it, gazzettaufficiale.it, gse.it, mimit.gov.it, mase.gov.it, eur-lex.europa.eu non raggiungibili in fetch diretto.</t>
        </is>
      </c>
      <c r="D22" s="6" t="inlineStr">
        <is>
          <t>RIMEDIO SCELTO: allowlist dei domini (foglio 16_Allowlist_domini e docs/ATL_OPS_EF_Allowlist_fonti_v1.md). La policy di rete e' attributo dell'environment e non e' modificabile da dentro una sessione: va aggiornata su claude.ai/code, poi serve una NUOVA sessione. Usare wildcard sui sottodomini.</t>
        </is>
      </c>
      <c r="E22" s="6" t="inlineStr">
        <is>
          <t>Blocca l'intera pipeline: nessun record promuovibile oltre draft</t>
        </is>
      </c>
      <c r="F22" s="6" t="inlineStr">
        <is>
          <t>In lavorazione — allowlist da applicare</t>
        </is>
      </c>
    </row>
    <row r="23">
      <c r="A23" s="4" t="inlineStr">
        <is>
          <t>GAP-019</t>
        </is>
      </c>
      <c r="B23" s="4" t="inlineStr">
        <is>
          <t>LIB-01 / LIB-02</t>
        </is>
      </c>
      <c r="C23" s="4" t="inlineStr">
        <is>
          <t>Definizione di 1 tep: coesistenza di 41,860 GJ (regime nazionale TEE) e 41,868 GJ (IEA/OCSE, direttiva 2012/27/UE).</t>
        </is>
      </c>
      <c r="D23" s="4" t="inlineStr">
        <is>
          <t>Registrato come CONF-002. Richiede la gerarchia di fonte di Garbin e la decisione se esporre due record distinti con ambiti di applicabilita' dichiarati. Nessuna scelta autonoma dell'agent.</t>
        </is>
      </c>
      <c r="E23" s="4" t="inlineStr">
        <is>
          <t>Riproducibilita' in verifica di terza parte: due definizioni danno risultati non identici</t>
        </is>
      </c>
      <c r="F23" s="4" t="inlineStr">
        <is>
          <t>Aperta — richiede gerarchia</t>
        </is>
      </c>
    </row>
  </sheetData>
  <autoFilter ref="A4:F23"/>
  <mergeCells count="2">
    <mergeCell ref="A2:F2"/>
    <mergeCell ref="A1:F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1"/>
  <sheetViews>
    <sheetView workbookViewId="0">
      <pane ySplit="4" topLeftCell="A5" activePane="bottomLeft" state="frozen"/>
      <selection pane="bottomLeft" activeCell="A1" sqref="A1"/>
    </sheetView>
  </sheetViews>
  <sheetFormatPr baseColWidth="8" defaultRowHeight="15"/>
  <cols>
    <col width="40" customWidth="1" min="1" max="1"/>
    <col width="40" customWidth="1" min="2" max="2"/>
    <col width="78" customWidth="1" min="3" max="3"/>
  </cols>
  <sheetData>
    <row r="1" ht="26" customHeight="1">
      <c r="A1" s="1" t="inlineStr">
        <is>
          <t>Legenda e modalita' d'uso</t>
        </is>
      </c>
    </row>
    <row r="2" ht="16" customHeight="1">
      <c r="A2" s="2" t="inlineStr">
        <is>
          <t>Come compilare i fogli libreria senza violare la regola zero-inference.</t>
        </is>
      </c>
    </row>
    <row r="4" ht="32" customHeight="1">
      <c r="A4" s="3" t="inlineStr">
        <is>
          <t>Elemento</t>
        </is>
      </c>
      <c r="B4" s="3" t="inlineStr">
        <is>
          <t>Significato</t>
        </is>
      </c>
      <c r="C4" s="3" t="inlineStr"/>
    </row>
    <row r="5">
      <c r="A5" s="4" t="inlineStr">
        <is>
          <t>Celle da compilare</t>
        </is>
      </c>
      <c r="B5" s="4" t="inlineStr">
        <is>
          <t>Nei fogli libreria (02-07): tutte le colonne dello schema canonico, dalla riga 5 in giu'. Le righe 1-3 sono intestazione e nota di foglio: non modificarle.</t>
        </is>
      </c>
      <c r="C5" s="4" t="inlineStr"/>
    </row>
    <row r="6">
      <c r="A6" s="6" t="inlineStr">
        <is>
          <t>Colonne gialle</t>
        </is>
      </c>
      <c r="B6" s="6" t="inlineStr">
        <is>
          <t>NOTA_CURATORE (chi cura), ESITO e NOTA VALIDATORE (riservate al CSO, da lasciare vuote fino alla sessione di validazione, §9).</t>
        </is>
      </c>
      <c r="C6" s="6" t="inlineStr"/>
    </row>
    <row r="7">
      <c r="A7" s="4" t="inlineStr">
        <is>
          <t>Celle vuote</t>
        </is>
      </c>
      <c r="B7" s="4" t="inlineStr">
        <is>
          <t>Sono lacune non colmate, non dimenticanze. Registrarle nel foglio 12_Gaps.</t>
        </is>
      </c>
      <c r="C7" s="4" t="inlineStr"/>
    </row>
    <row r="8">
      <c r="A8" s="6" t="inlineStr">
        <is>
          <t>'[DA VERIFICARE IN FONTE PRIMARIA]'</t>
        </is>
      </c>
      <c r="B8" s="6" t="inlineStr">
        <is>
          <t>Marca un campo il cui contenuto non e' ancora localizzabile a documento, edizione, tabella, pagina. Un record con questa marca non supera il gate 2 e non entra in pacchetto.</t>
        </is>
      </c>
      <c r="C8" s="6" t="inlineStr"/>
    </row>
    <row r="9">
      <c r="A9" s="4" t="inlineStr">
        <is>
          <t>'n/a'</t>
        </is>
      </c>
      <c r="B9" s="4" t="inlineStr">
        <is>
          <t>Campo non applicabile, con motivazione. Mai lasciare vuoto un campo non applicabile (§7).</t>
        </is>
      </c>
      <c r="C9" s="4" t="inlineStr"/>
    </row>
    <row r="10">
      <c r="A10" s="6" t="inlineStr">
        <is>
          <t>status</t>
        </is>
      </c>
      <c r="B10" s="6" t="inlineStr">
        <is>
          <t>Tutti i record nascono 'draft'. Il passaggio a 'validated' richiede la firma di Francesco Garbin (CSO), non delegabile e non surrogabile per scadenza commerciale (§11).</t>
        </is>
      </c>
      <c r="C10" s="6" t="inlineStr"/>
    </row>
    <row r="11">
      <c r="A11" s="4" t="inlineStr">
        <is>
          <t>Aggiornamento di un record</t>
        </is>
      </c>
      <c r="B11" s="4" t="inlineStr">
        <is>
          <t>Non si sovrascrive: si chiude il precedente (status = superseded, valid_to, superseded_by) e si crea un nuovo factor_id (§2.1).</t>
        </is>
      </c>
      <c r="C11" s="4" t="inlineStr"/>
    </row>
    <row r="12">
      <c r="A12" s="6" t="inlineStr">
        <is>
          <t>Cosa l'agent NON fa</t>
        </is>
      </c>
      <c r="B12" s="6" t="inlineStr">
        <is>
          <t>Non stima, non interpola, non media, non estrapola, non applica rendimenti o COP per riportare un dato a un'altra base, non risolve conflitti tra fonti, non estende la tassonomia senza approvazione, non promuove a validated.</t>
        </is>
      </c>
      <c r="C12" s="6" t="inlineStr"/>
    </row>
    <row r="13">
      <c r="A13" s="4" t="inlineStr">
        <is>
          <t>Cosa l'agent NON scrive</t>
        </is>
      </c>
      <c r="B13" s="4" t="inlineStr">
        <is>
          <t>'crediti generati', 'crediti prodotti', 'conversione in crediti di carbonio'; e 'certificato', 'conforme', 'validato da ente terzo', 'accreditato' riferiti alla libreria. Formulazione corretta: curata internamente, validata dal CSO (§11).</t>
        </is>
      </c>
      <c r="C13" s="4" t="inlineStr"/>
    </row>
    <row r="16">
      <c r="A16" s="19" t="inlineStr">
        <is>
          <t>RIGA DI ESEMPIO — formato atteso, NON un record della libreria</t>
        </is>
      </c>
    </row>
    <row r="17" ht="32" customHeight="1">
      <c r="A17" s="3" t="inlineStr">
        <is>
          <t>Campo</t>
        </is>
      </c>
      <c r="B17" s="3" t="inlineStr">
        <is>
          <t>Valore di esempio</t>
        </is>
      </c>
      <c r="C17" s="3" t="inlineStr">
        <is>
          <t>Formato</t>
        </is>
      </c>
    </row>
    <row r="18">
      <c r="A18" s="6" t="inlineStr">
        <is>
          <t>factor_id</t>
        </is>
      </c>
      <c r="B18" s="6" t="inlineStr">
        <is>
          <t>LIB05-S1-GASNAT-0001</t>
        </is>
      </c>
      <c r="C18" s="6" t="inlineStr">
        <is>
          <t>Prefisso libreria + scope + attivita' + progressivo</t>
        </is>
      </c>
    </row>
    <row r="19">
      <c r="A19" s="4" t="inlineStr">
        <is>
          <t>status</t>
        </is>
      </c>
      <c r="B19" s="4" t="inlineStr">
        <is>
          <t>draft</t>
        </is>
      </c>
      <c r="C19" s="4" t="inlineStr">
        <is>
          <t>Uno tra: draft | in_review | validated | superseded | rejected</t>
        </is>
      </c>
    </row>
    <row r="20">
      <c r="A20" s="6" t="inlineStr">
        <is>
          <t>value</t>
        </is>
      </c>
      <c r="B20" s="6" t="inlineStr">
        <is>
          <t>1.9982</t>
        </is>
      </c>
      <c r="C20" s="6" t="inlineStr">
        <is>
          <t>Punto decimale, nessuna unita' nella cella del valore</t>
        </is>
      </c>
    </row>
    <row r="21">
      <c r="A21" s="4" t="inlineStr">
        <is>
          <t>unit_numerator / unit_denominator</t>
        </is>
      </c>
      <c r="B21" s="4" t="inlineStr">
        <is>
          <t>kgCO2e   /   Sm3</t>
        </is>
      </c>
      <c r="C21" s="4" t="inlineStr">
        <is>
          <t>Due celle distinte, nomenclatura da taxonomy/units.yaml</t>
        </is>
      </c>
    </row>
    <row r="22">
      <c r="A22" s="6" t="inlineStr">
        <is>
          <t>gas / gwp_set</t>
        </is>
      </c>
      <c r="B22" s="6" t="inlineStr">
        <is>
          <t>CO2e   /   IPCC AR6 GWP100</t>
        </is>
      </c>
      <c r="C22" s="6" t="inlineStr">
        <is>
          <t>Set GWP identico su tutta la versione (gate G1)</t>
        </is>
      </c>
    </row>
    <row r="23">
      <c r="A23" s="4" t="inlineStr">
        <is>
          <t>record_type</t>
        </is>
      </c>
      <c r="B23" s="4" t="inlineStr">
        <is>
          <t>emission_factor</t>
        </is>
      </c>
      <c r="C23" s="4" t="inlineStr">
        <is>
          <t>Determina il regime di validazione</t>
        </is>
      </c>
    </row>
    <row r="24">
      <c r="A24" s="6" t="inlineStr">
        <is>
          <t>valid_from / valid_to</t>
        </is>
      </c>
      <c r="B24" s="6" t="inlineStr">
        <is>
          <t>2026-01-01   /   2026-12-31</t>
        </is>
      </c>
      <c r="C24" s="6" t="inlineStr">
        <is>
          <t>ISO 8601. Risoluzione per data di competenza del dato di attivita'</t>
        </is>
      </c>
    </row>
    <row r="25">
      <c r="A25" s="4" t="inlineStr">
        <is>
          <t>source_table / source_page</t>
        </is>
      </c>
      <c r="B25" s="4" t="inlineStr">
        <is>
          <t>Tab. 2.3   /   p. 41</t>
        </is>
      </c>
      <c r="C25" s="4" t="inlineStr">
        <is>
          <t>Senza questi due campi il record non e' ammissibile</t>
        </is>
      </c>
    </row>
    <row r="26">
      <c r="A26" s="6" t="inlineStr">
        <is>
          <t>extraction_method</t>
        </is>
      </c>
      <c r="B26" s="6" t="inlineStr">
        <is>
          <t>manual_transcription</t>
        </is>
      </c>
      <c r="C26" s="6" t="inlineStr">
        <is>
          <t>Se manual_transcription -&gt; il record e' automaticamente T1</t>
        </is>
      </c>
    </row>
    <row r="27">
      <c r="A27" s="4" t="inlineStr">
        <is>
          <t>license_class</t>
        </is>
      </c>
      <c r="B27" s="4" t="inlineStr">
        <is>
          <t>VERDE</t>
        </is>
      </c>
      <c r="C27" s="4" t="inlineStr">
        <is>
          <t>VERDE | GIALLO | ROSSO; indeterminata = ROSSO</t>
        </is>
      </c>
    </row>
    <row r="29">
      <c r="A29" s="10" t="inlineStr">
        <is>
          <t>I valori della riga di esempio sono illustrativi del FORMATO e non sono fattori: non copiarli in un foglio libreria. Nessun valore di esempio e' stato inserito nei fogli 04-07 proprio per evitare che un numero non tracciato venga confuso con un record curato.</t>
        </is>
      </c>
    </row>
    <row r="30"/>
    <row r="31"/>
  </sheetData>
  <mergeCells count="3">
    <mergeCell ref="A1:C1"/>
    <mergeCell ref="A29:C31"/>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34" customWidth="1" min="3" max="3"/>
    <col width="52" customWidth="1" min="4" max="4"/>
    <col width="20" customWidth="1" min="5" max="5"/>
    <col width="46" customWidth="1" min="6" max="6"/>
    <col width="44" customWidth="1" min="7" max="7"/>
    <col width="24" customWidth="1" min="8" max="8"/>
    <col width="62" customWidth="1" min="9" max="9"/>
  </cols>
  <sheetData>
    <row r="1" ht="26" customHeight="1">
      <c r="A1" s="1" t="inlineStr">
        <is>
          <t>Verifica di fonte — stato al 21/08/2026</t>
        </is>
      </c>
    </row>
    <row r="2" ht="16" customHeight="1">
      <c r="A2" s="2" t="inlineStr">
        <is>
          <t>Ricerca eseguita per LOCALIZZARE i documenti primari. Nessun valore estratto da fonti secondarie: §1 vieta blog, articoli divulgativi, siti di ESCo, altri software di calcolo e output di modelli linguistici come fonte. Tutti i record restano status = draft.</t>
        </is>
      </c>
    </row>
    <row r="4" ht="32" customHeight="1">
      <c r="A4" s="3" t="inlineStr">
        <is>
          <t>ID</t>
        </is>
      </c>
      <c r="B4" s="3" t="inlineStr">
        <is>
          <t>Record / gap</t>
        </is>
      </c>
      <c r="C4" s="3" t="inlineStr">
        <is>
          <t>Dato dichiarato in CLAUDE.md</t>
        </is>
      </c>
      <c r="D4" s="3" t="inlineStr">
        <is>
          <t>Documento primario candidato</t>
        </is>
      </c>
      <c r="E4" s="3" t="inlineStr">
        <is>
          <t>Ente</t>
        </is>
      </c>
      <c r="F4" s="3" t="inlineStr">
        <is>
          <t>Locatore (da fetchare quando l'accesso sara' consentito)</t>
        </is>
      </c>
      <c r="G4" s="3" t="inlineStr">
        <is>
          <t>Cosa estrarre</t>
        </is>
      </c>
      <c r="H4" s="3" t="inlineStr">
        <is>
          <t>Stato accesso</t>
        </is>
      </c>
      <c r="I4" s="3" t="inlineStr">
        <is>
          <t>Esito della verifica</t>
        </is>
      </c>
    </row>
    <row r="5">
      <c r="A5" s="4" t="inlineStr">
        <is>
          <t>VF-001</t>
        </is>
      </c>
      <c r="B5" s="4" t="inlineStr">
        <is>
          <t>LIB01-EE-PRIM-0001</t>
        </is>
      </c>
      <c r="C5" s="4" t="inlineStr">
        <is>
          <t>0,187 x 10^-3 tep/kWh (energia elettrica -&gt; energia primaria)</t>
        </is>
      </c>
      <c r="D5" s="4" t="inlineStr">
        <is>
          <t>Delibera AEEG (ora ARERA) EEN 3/08 — 'Aggiornamento del fattore di conversione dei kWh in tonnellate equivalenti di petrolio connesso al meccanismo dei titoli di efficienza energetica'</t>
        </is>
      </c>
      <c r="E5" s="4" t="inlineStr">
        <is>
          <t>ARERA</t>
        </is>
      </c>
      <c r="F5" s="4" t="inlineStr">
        <is>
          <t>https://www.arera.it/atti-e-provvedimenti/dettaglio/08/003-08een</t>
        </is>
      </c>
      <c r="G5" s="4" t="inlineStr">
        <is>
          <t>Valore verbatim; articolo/comma; allegato e tabella; pagina; data di adozione; data di entrata in vigore; testo integrale per hash SHA-256</t>
        </is>
      </c>
      <c r="H5" s="18" t="inlineStr">
        <is>
          <t>BLOCCATO — policy di egress</t>
        </is>
      </c>
      <c r="I5" s="4" t="inlineStr">
        <is>
          <t>Titolo del provvedimento coerente con quello citato in CLAUDE.md. La DATA di adozione risulta discordante tra fonti secondarie (20 / 28 / 31 marzo 2008): CONF-001. Il valore non e' confermato.</t>
        </is>
      </c>
    </row>
    <row r="6">
      <c r="A6" s="6" t="inlineStr">
        <is>
          <t>VF-002</t>
        </is>
      </c>
      <c r="B6" s="6" t="inlineStr">
        <is>
          <t>LIB01-GN-PRIM-0002</t>
        </is>
      </c>
      <c r="C6" s="6" t="inlineStr">
        <is>
          <t>0,000836 tep/Sm3 (gas naturale)</t>
        </is>
      </c>
      <c r="D6" s="6" t="inlineStr">
        <is>
          <t>Atto NON identificato. Ipotesi da verificare in ordine: (a) Delibera EEN 3/08 e successivi aggiornamenti; (b) Allegato A alla delibera EEN 9/10 e successive linee guida ARERA; (c) tabella dei coefficienti nella Guida Operativa GSE vigente; (d) D.M. 20 luglio 2004</t>
        </is>
      </c>
      <c r="E6" s="6" t="inlineStr">
        <is>
          <t>ARERA / GSE / MASE</t>
        </is>
      </c>
      <c r="F6" s="6" t="inlineStr">
        <is>
          <t>https://www.arera.it/fileadmin/allegati/docs/10/009-10eenallA_ti.pdf ; https://www.gse.it/servizi-per-te/efficienza-energetica/certificati-bianchi/documenti</t>
        </is>
      </c>
      <c r="G6" s="6" t="inlineStr">
        <is>
          <t>Identificare l'atto che fissa il coefficiente; poi valore verbatim, tabella, pagina, vigenza</t>
        </is>
      </c>
      <c r="H6" s="18" t="inlineStr">
        <is>
          <t>BLOCCATO — policy di egress</t>
        </is>
      </c>
      <c r="I6" s="6" t="inlineStr">
        <is>
          <t>Il valore circola in moduli di conversione di amministrazioni pubbliche, che NON sono fonte primaria: sono applicazioni di un coefficiente stabilito altrove. GAP-002 resta aperto.</t>
        </is>
      </c>
    </row>
    <row r="7">
      <c r="A7" s="4" t="inlineStr">
        <is>
          <t>VF-003</t>
        </is>
      </c>
      <c r="B7" s="4" t="inlineStr">
        <is>
          <t>LIB02-TEP-GJ-0001</t>
        </is>
      </c>
      <c r="C7" s="4" t="inlineStr">
        <is>
          <t>1 tep = 41,860 GJ (identita' tep -&gt; GJ)</t>
        </is>
      </c>
      <c r="D7" s="4" t="inlineStr">
        <is>
          <t>D.M. Ministero delle Attivita' Produttive 20 luglio 2004 (indicato da fonti secondarie come l'atto che fissa 1 tep = 41,860 GJ per il meccanismo TEE)</t>
        </is>
      </c>
      <c r="E7" s="4" t="inlineStr">
        <is>
          <t>MASE (gia' Ministero Attivita' Produttive)</t>
        </is>
      </c>
      <c r="F7" s="4" t="inlineStr">
        <is>
          <t>https://www.gazzettaufficiale.it (ricerca per D.M. 20 luglio 2004) ; https://eur-lex.europa.eu (dir. 2012/27/UE, allegato IV)</t>
        </is>
      </c>
      <c r="G7" s="4" t="inlineStr">
        <is>
          <t>Testo che fissa il fattore; articolo; allegato; pagina di GU; data di entrata in vigore. In parallelo l'allegato IV della direttiva per il confronto</t>
        </is>
      </c>
      <c r="H7" s="18" t="inlineStr">
        <is>
          <t>BLOCCATO — policy di egress</t>
        </is>
      </c>
      <c r="I7" s="4" t="inlineStr">
        <is>
          <t>CONFLITTO APERTO con la definizione IEA/OCSE e con la direttiva 2012/27/UE (41,868 GJ): CONF-002. Non risolto dall'agent.</t>
        </is>
      </c>
    </row>
    <row r="8">
      <c r="A8" s="6" t="inlineStr">
        <is>
          <t>VF-004</t>
        </is>
      </c>
      <c r="B8" s="6" t="inlineStr">
        <is>
          <t>GAP-001</t>
        </is>
      </c>
      <c r="C8" s="6" t="inlineStr">
        <is>
          <t>Decreto certificati bianchi 2025 — vita utile e raggruppamento progetti</t>
        </is>
      </c>
      <c r="D8" s="6" t="inlineStr">
        <is>
          <t>D.M. MASE 21 luglio 2025 (indicato da fonti secondarie come pubblicato in GU n. 211 dell'11 settembre 2025, applicabile ai progetti presentati dal 12 settembre 2025). Guida Operativa attuativa approvata con decreto direttoriale successivo</t>
        </is>
      </c>
      <c r="E8" s="6" t="inlineStr">
        <is>
          <t>MASE / GSE</t>
        </is>
      </c>
      <c r="F8" s="6" t="inlineStr">
        <is>
          <t>https://www.gazzettaufficiale.it (GU Serie Generale n. 211 dell'11/09/2025) ; https://www.gse.it/servizi-per-te/efficienza-energetica/certificati-bianchi/documenti</t>
        </is>
      </c>
      <c r="G8" s="6" t="inlineStr">
        <is>
          <t>Testo integrale del decreto e degli allegati tecnici; articoli su vita utile, metodi di valutazione (consuntivo / standardizzato / semplificato), progetti aggregati; mappatura dei record LIB-01 impattati</t>
        </is>
      </c>
      <c r="H8" s="18" t="inlineStr">
        <is>
          <t>BLOCCATO — policy di egress</t>
        </is>
      </c>
      <c r="I8" s="6" t="inlineStr">
        <is>
          <t>PRIORITA' 1 ED ESCALATION A TOBIA (§14): se confermato, ridefinisce la base normativa dell'INTERA LIB-01, non aggiorna singoli record. Verificare questo PRIMA dei singoli coefficienti, altrimenti si rischia di verificarli contro un regime superato.</t>
        </is>
      </c>
    </row>
    <row r="9">
      <c r="A9" s="4" t="inlineStr">
        <is>
          <t>VF-005</t>
        </is>
      </c>
      <c r="B9" s="4" t="inlineStr">
        <is>
          <t>GAP-004 / GAP-005</t>
        </is>
      </c>
      <c r="C9" s="4" t="inlineStr">
        <is>
          <t>Coefficienti per gli altri vettori ammessi; parametri CAR; vita utile; coefficienti di durabilita'; soglie di accesso; PCI dei combustibili</t>
        </is>
      </c>
      <c r="D9" s="4" t="inlineStr">
        <is>
          <t>Guida Operativa GSE vigente e allegati (chiarimenti operativi, guide settoriali, chiarimenti sulla tabella degli interventi)</t>
        </is>
      </c>
      <c r="E9" s="4" t="inlineStr">
        <is>
          <t>GSE</t>
        </is>
      </c>
      <c r="F9" s="4" t="inlineStr">
        <is>
          <t>https://www.gse.it/servizi-per-te/efficienza-energetica/certificati-bianchi/documenti</t>
        </is>
      </c>
      <c r="G9" s="4" t="inlineStr">
        <is>
          <t>Tabelle complete dei coefficienti, con edizione e data di pubblicazione</t>
        </is>
      </c>
      <c r="H9" s="18" t="inlineStr">
        <is>
          <t>BLOCCATO — policy di egress</t>
        </is>
      </c>
      <c r="I9" s="4" t="inlineStr">
        <is>
          <t>Copertura non avviata. La verifica non e' iniziabile senza accesso al sito GSE.</t>
        </is>
      </c>
    </row>
    <row r="11">
      <c r="A11" s="10" t="inlineStr">
        <is>
          <t>METODO. La ricerca (WebSearch) passa dall'API Anthropic e funziona; il fetch diretto dei documenti e' bloccato. Poiche' l'estrazione verbatim richiede il documento, la ricerca e' stata usata solo per identificare titolo, ente e posizione degli atti. Nessuno snippet di ricerca e' stato trattato come fonte.</t>
        </is>
      </c>
    </row>
    <row r="12"/>
    <row r="13"/>
  </sheetData>
  <autoFilter ref="A4:I9"/>
  <mergeCells count="3">
    <mergeCell ref="A1:I1"/>
    <mergeCell ref="A11:I13"/>
    <mergeCell ref="A2:I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11" customWidth="1" min="1" max="1"/>
    <col width="34" customWidth="1" min="2" max="2"/>
    <col width="48" customWidth="1" min="3" max="3"/>
    <col width="48" customWidth="1" min="4" max="4"/>
    <col width="44" customWidth="1" min="5" max="5"/>
    <col width="56" customWidth="1" min="6" max="6"/>
    <col width="56" customWidth="1" min="7" max="7"/>
    <col width="24" customWidth="1" min="8" max="8"/>
  </cols>
  <sheetData>
    <row r="1" ht="26" customHeight="1">
      <c r="A1" s="1" t="inlineStr">
        <is>
          <t>Conflitti tra fonti — non risolti dall'agent (§11)</t>
        </is>
      </c>
    </row>
    <row r="2" ht="16" customHeight="1">
      <c r="A2" s="2" t="inlineStr">
        <is>
          <t>Entrambi i valori sono riportati con la loro provenienza. La gerarchia va registrata da Garbin in taxonomy/source_hierarchy.yaml prima di qualunque scelta.</t>
        </is>
      </c>
    </row>
    <row r="4" ht="32" customHeight="1">
      <c r="A4" s="3" t="inlineStr">
        <is>
          <t>ID</t>
        </is>
      </c>
      <c r="B4" s="3" t="inlineStr">
        <is>
          <t>Chiave in conflitto</t>
        </is>
      </c>
      <c r="C4" s="3" t="inlineStr">
        <is>
          <t>Valore A (con provenienza)</t>
        </is>
      </c>
      <c r="D4" s="3" t="inlineStr">
        <is>
          <t>Valore B (con provenienza)</t>
        </is>
      </c>
      <c r="E4" s="3" t="inlineStr">
        <is>
          <t>Natura del conflitto</t>
        </is>
      </c>
      <c r="F4" s="3" t="inlineStr">
        <is>
          <t>Impatto</t>
        </is>
      </c>
      <c r="G4" s="3" t="inlineStr">
        <is>
          <t>Decisione richiesta</t>
        </is>
      </c>
      <c r="H4" s="3" t="inlineStr">
        <is>
          <t>Stato</t>
        </is>
      </c>
    </row>
    <row r="5">
      <c r="A5" s="4" t="inlineStr">
        <is>
          <t>CONF-001</t>
        </is>
      </c>
      <c r="B5" s="4" t="inlineStr">
        <is>
          <t>Data di adozione della delibera AEEG EEN 3/08</t>
        </is>
      </c>
      <c r="C5" s="4" t="inlineStr">
        <is>
          <t>20 marzo 2008</t>
        </is>
      </c>
      <c r="D5" s="4" t="inlineStr">
        <is>
          <t>28 marzo 2008 / 31 marzo 2008</t>
        </is>
      </c>
      <c r="E5" s="4" t="inlineStr">
        <is>
          <t>Fonti secondarie discordanti (moduli di conversione, portali di settore, enciclopedie collaborative). Nessuna e' fonte primaria.</t>
        </is>
      </c>
      <c r="F5" s="4" t="inlineStr">
        <is>
          <t>Il campo legal_reference di LIB-01 richiede la data di entrata in vigore. Una data errata rende il riferimento non verificabile in audit di terza parte.</t>
        </is>
      </c>
      <c r="G5" s="4" t="inlineStr">
        <is>
          <t>Risolvibile SOLO leggendo il provvedimento sul sito ARERA. Non richiede una decisione di gerarchia: richiede accesso alla fonte.</t>
        </is>
      </c>
      <c r="H5" s="4" t="inlineStr">
        <is>
          <t>Aperto — bloccato da accesso</t>
        </is>
      </c>
    </row>
    <row r="6">
      <c r="A6" s="6" t="inlineStr">
        <is>
          <t>CONF-002</t>
        </is>
      </c>
      <c r="B6" s="6" t="inlineStr">
        <is>
          <t>Contenuto energetico di 1 tep (identita' tep -&gt; GJ -&gt; kWh_th)</t>
        </is>
      </c>
      <c r="C6" s="6" t="inlineStr">
        <is>
          <t>1 tep = 41,860 GJ -&gt; 11.627,8 kWh_th (arrotondato a 11.628). Provenienza indicata: D.M. 20 luglio 2004, regime TEE italiano. DA VERIFICARE IN GU.</t>
        </is>
      </c>
      <c r="D6" s="6" t="inlineStr">
        <is>
          <t>1 tep = 41,868 GJ -&gt; 11.630 kWh_th. Provenienza indicata: definizione IEA/OCSE, ripresa dalla direttiva 2012/27/UE. DA VERIFICARE IN EUR-LEX.</t>
        </is>
      </c>
      <c r="E6" s="6" t="inlineStr">
        <is>
          <t>Conflitto di regime, non di misura: due definizioni convenzionali coesistenti, una nazionale e una internazionale. Scarto 0,019% sul contenuto energetico.</t>
        </is>
      </c>
      <c r="F6" s="6" t="inlineStr">
        <is>
          <t>Numericamente marginale, e proprio per questo insidioso: troppo piccolo per essere notato come errore, troppo grande per essere zero. Un auditor che ricalcola con 41,868 non riproduce un risparmio calcolato con 41,860. Impatta anche la collocazione del record (LIB-01 regime TEE vs LIB-02 identita' fisica).</t>
        </is>
      </c>
      <c r="G6" s="6" t="inlineStr">
        <is>
          <t>DECISIONE A GARBIN. Il §4 stabilisce che per LIB-01 vale solo il diritto nazionale italiano: se il record e' TEE, prevale il valore nazionale. Resta da decidere se LIB-02 esponga un secondo record per uso extra-TEE, e con quale gerarchia. L'agent non sceglie.</t>
        </is>
      </c>
      <c r="H6" s="6" t="inlineStr">
        <is>
          <t>Aperto — richiede gerarchia</t>
        </is>
      </c>
    </row>
    <row r="8">
      <c r="A8" s="6" t="inlineStr">
        <is>
          <t>NOTA DI COERENZA INTERNA. L'11.628 kWh_th citato in CLAUDE.md e' aritmeticamente coerente con 41,860 GJ (41,860/0,0036 = 11.627,8): su questo il documento di governance e' internamente consistente. Il conflitto e' con la definizione internazionale, non interno al documento.</t>
        </is>
      </c>
    </row>
    <row r="9"/>
    <row r="10"/>
  </sheetData>
  <mergeCells count="3">
    <mergeCell ref="A8:H10"/>
    <mergeCell ref="A2:H2"/>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10" customWidth="1" min="1" max="1"/>
    <col width="34" customWidth="1" min="2" max="2"/>
    <col width="34" customWidth="1" min="3" max="3"/>
    <col width="18" customWidth="1" min="4" max="4"/>
    <col width="72" customWidth="1" min="5" max="5"/>
    <col width="50" customWidth="1" min="6" max="6"/>
  </cols>
  <sheetData>
    <row r="1" ht="26" customHeight="1">
      <c r="A1" s="1" t="inlineStr">
        <is>
          <t>Allowlist dei domini di fonte primaria — rimedio a GAP-018</t>
        </is>
      </c>
    </row>
    <row r="2" ht="16" customHeight="1">
      <c r="A2" s="2" t="inlineStr">
        <is>
          <t>Sola lettura di documenti pubblici. La policy di rete e' attributo dell'environment (Default — trusted network access): non modificabile da dentro una sessione. Dettaglio in docs/ATL_OPS_EF_Allowlist_fonti_v1.md.</t>
        </is>
      </c>
    </row>
    <row r="4" ht="32" customHeight="1">
      <c r="A4" s="3" t="inlineStr">
        <is>
          <t>Tier</t>
        </is>
      </c>
      <c r="B4" s="3" t="inlineStr">
        <is>
          <t>Dominio</t>
        </is>
      </c>
      <c r="C4" s="3" t="inlineStr">
        <is>
          <t>Ente</t>
        </is>
      </c>
      <c r="D4" s="3" t="inlineStr">
        <is>
          <t>Librerie servite</t>
        </is>
      </c>
      <c r="E4" s="3" t="inlineStr">
        <is>
          <t>Cosa serve</t>
        </is>
      </c>
      <c r="F4" s="3" t="inlineStr">
        <is>
          <t>Classe di licenza attesa</t>
        </is>
      </c>
    </row>
    <row r="5">
      <c r="A5" s="18" t="inlineStr">
        <is>
          <t>Tier 1</t>
        </is>
      </c>
      <c r="B5" s="4" t="inlineStr">
        <is>
          <t>arera.it</t>
        </is>
      </c>
      <c r="C5" s="4" t="inlineStr">
        <is>
          <t>ARERA (gia' AEEG)</t>
        </is>
      </c>
      <c r="D5" s="4" t="inlineStr">
        <is>
          <t>LIB-01, LIB-02</t>
        </is>
      </c>
      <c r="E5" s="4" t="inlineStr">
        <is>
          <t>Delibera EEN 3/08 e allegati; linee guida e aggiornamenti dei coefficienti (VF-001, CONF-001)</t>
        </is>
      </c>
      <c r="F5" s="4" t="inlineStr">
        <is>
          <t>VERDE — atti normativi</t>
        </is>
      </c>
    </row>
    <row r="6">
      <c r="A6" s="18" t="inlineStr">
        <is>
          <t>Tier 1</t>
        </is>
      </c>
      <c r="B6" s="6" t="inlineStr">
        <is>
          <t>gazzettaufficiale.it</t>
        </is>
      </c>
      <c r="C6" s="6" t="inlineStr">
        <is>
          <t>Istituto Poligrafico dello Stato</t>
        </is>
      </c>
      <c r="D6" s="6" t="inlineStr">
        <is>
          <t>LIB-01, LIB-02</t>
        </is>
      </c>
      <c r="E6" s="6" t="inlineStr">
        <is>
          <t>D.M. MASE 21 luglio 2025 (VF-004); D.M. 20 luglio 2004 (VF-003)</t>
        </is>
      </c>
      <c r="F6" s="6" t="inlineStr">
        <is>
          <t>VERDE — atti normativi</t>
        </is>
      </c>
    </row>
    <row r="7">
      <c r="A7" s="18" t="inlineStr">
        <is>
          <t>Tier 1</t>
        </is>
      </c>
      <c r="B7" s="4" t="inlineStr">
        <is>
          <t>gse.it</t>
        </is>
      </c>
      <c r="C7" s="4" t="inlineStr">
        <is>
          <t>GSE</t>
        </is>
      </c>
      <c r="D7" s="4" t="inlineStr">
        <is>
          <t>LIB-01, LIB-02</t>
        </is>
      </c>
      <c r="E7" s="4" t="inlineStr">
        <is>
          <t>Guida Operativa certificati bianchi e allegati: chiarimenti, guide settoriali, tabella degli interventi, coefficienti (VF-002, VF-005)</t>
        </is>
      </c>
      <c r="F7" s="4" t="inlineStr">
        <is>
          <t>VERDE</t>
        </is>
      </c>
    </row>
    <row r="8">
      <c r="A8" s="18" t="inlineStr">
        <is>
          <t>Tier 1</t>
        </is>
      </c>
      <c r="B8" s="6" t="inlineStr">
        <is>
          <t>mase.gov.it</t>
        </is>
      </c>
      <c r="C8" s="6" t="inlineStr">
        <is>
          <t>MASE</t>
        </is>
      </c>
      <c r="D8" s="6" t="inlineStr">
        <is>
          <t>LIB-01</t>
        </is>
      </c>
      <c r="E8" s="6" t="inlineStr">
        <is>
          <t>Decreti e provvedimenti su efficienza energetica, TEE, CAR</t>
        </is>
      </c>
      <c r="F8" s="6" t="inlineStr">
        <is>
          <t>VERDE</t>
        </is>
      </c>
    </row>
    <row r="9">
      <c r="A9" s="18" t="inlineStr">
        <is>
          <t>Tier 1</t>
        </is>
      </c>
      <c r="B9" s="4" t="inlineStr">
        <is>
          <t>mimit.gov.it</t>
        </is>
      </c>
      <c r="C9" s="4" t="inlineStr">
        <is>
          <t>MIMIT (gia' MISE)</t>
        </is>
      </c>
      <c r="D9" s="4" t="inlineStr">
        <is>
          <t>LIB-01</t>
        </is>
      </c>
      <c r="E9" s="4" t="inlineStr">
        <is>
          <t>Guide operative e decreti attuativi storici</t>
        </is>
      </c>
      <c r="F9" s="4" t="inlineStr">
        <is>
          <t>VERDE</t>
        </is>
      </c>
    </row>
    <row r="10">
      <c r="A10" s="18" t="inlineStr">
        <is>
          <t>Tier 1</t>
        </is>
      </c>
      <c r="B10" s="6" t="inlineStr">
        <is>
          <t>eur-lex.europa.eu</t>
        </is>
      </c>
      <c r="C10" s="6" t="inlineStr">
        <is>
          <t>Unione Europea</t>
        </is>
      </c>
      <c r="D10" s="6" t="inlineStr">
        <is>
          <t>LIB-02, LIB-05, IP</t>
        </is>
      </c>
      <c r="E10" s="6" t="inlineStr">
        <is>
          <t>Direttiva 2012/27/UE allegato IV (CONF-002); direttiva 2024/825; direttiva 96/9/CE per la nota IP §15</t>
        </is>
      </c>
      <c r="F10" s="6" t="inlineStr">
        <is>
          <t>VERDE</t>
        </is>
      </c>
    </row>
    <row r="11">
      <c r="A11" s="17" t="inlineStr">
        <is>
          <t>Tier 2</t>
        </is>
      </c>
      <c r="B11" s="4" t="inlineStr">
        <is>
          <t>isprambiente.gov.it</t>
        </is>
      </c>
      <c r="C11" s="4" t="inlineStr">
        <is>
          <t>ISPRA</t>
        </is>
      </c>
      <c r="D11" s="4" t="inlineStr">
        <is>
          <t>LIB-05</t>
        </is>
      </c>
      <c r="E11" s="4" t="inlineStr">
        <is>
          <t>Inventario nazionale dei gas serra e fattori di emissione per l'Italia — fonte gerarchicamente prevalente (§4)</t>
        </is>
      </c>
      <c r="F11" s="4" t="inlineStr">
        <is>
          <t>VERDE</t>
        </is>
      </c>
    </row>
    <row r="12">
      <c r="A12" s="17" t="inlineStr">
        <is>
          <t>Tier 2</t>
        </is>
      </c>
      <c r="B12" s="6" t="inlineStr">
        <is>
          <t>efficienzaenergetica.enea.it</t>
        </is>
      </c>
      <c r="C12" s="6" t="inlineStr">
        <is>
          <t>ENEA</t>
        </is>
      </c>
      <c r="D12" s="6" t="inlineStr">
        <is>
          <t>LIB-02</t>
        </is>
      </c>
      <c r="E12" s="6" t="inlineStr">
        <is>
          <t>Diagnosi energetiche UNI CEI 11339 e parametri di riferimento</t>
        </is>
      </c>
      <c r="F12" s="6" t="inlineStr">
        <is>
          <t>VERDE</t>
        </is>
      </c>
    </row>
    <row r="13">
      <c r="A13" s="17" t="inlineStr">
        <is>
          <t>Tier 2</t>
        </is>
      </c>
      <c r="B13" s="4" t="inlineStr">
        <is>
          <t>eea.europa.eu</t>
        </is>
      </c>
      <c r="C13" s="4" t="inlineStr">
        <is>
          <t>European Environment Agency</t>
        </is>
      </c>
      <c r="D13" s="4" t="inlineStr">
        <is>
          <t>LIB-05</t>
        </is>
      </c>
      <c r="E13" s="4" t="inlineStr">
        <is>
          <t>Fattori europei e geografie non coperte dall'inventario nazionale</t>
        </is>
      </c>
      <c r="F13" s="4" t="inlineStr">
        <is>
          <t>VERDE</t>
        </is>
      </c>
    </row>
    <row r="14">
      <c r="A14" s="17" t="inlineStr">
        <is>
          <t>Tier 2</t>
        </is>
      </c>
      <c r="B14" s="6" t="inlineStr">
        <is>
          <t>ipcc-nggip.iges.or.jp</t>
        </is>
      </c>
      <c r="C14" s="6" t="inlineStr">
        <is>
          <t>IPCC — National GHG Inventories Programme</t>
        </is>
      </c>
      <c r="D14" s="6" t="inlineStr">
        <is>
          <t>LIB-05</t>
        </is>
      </c>
      <c r="E14" s="6" t="inlineStr">
        <is>
          <t>Linee guida IPCC ed Emission Factor Database; set GWP (gate G1)</t>
        </is>
      </c>
      <c r="F14" s="6" t="inlineStr">
        <is>
          <t>VERDE — linee guida IPCC</t>
        </is>
      </c>
    </row>
    <row r="15">
      <c r="A15" s="17" t="inlineStr">
        <is>
          <t>Tier 2</t>
        </is>
      </c>
      <c r="B15" s="4" t="inlineStr">
        <is>
          <t>ghgprotocol.org</t>
        </is>
      </c>
      <c r="C15" s="4" t="inlineStr">
        <is>
          <t>GHG Protocol</t>
        </is>
      </c>
      <c r="D15" s="4" t="inlineStr">
        <is>
          <t>LIB-05</t>
        </is>
      </c>
      <c r="E15" s="4" t="inlineStr">
        <is>
          <t>Standard e categorie Scope 3. Aggiornamenti STRUTTURALI -&gt; escalation immediata (§6)</t>
        </is>
      </c>
      <c r="F15" s="4" t="inlineStr">
        <is>
          <t>VERDE — da verificare i termini</t>
        </is>
      </c>
    </row>
    <row r="16">
      <c r="A16" s="17" t="inlineStr">
        <is>
          <t>Tier 2</t>
        </is>
      </c>
      <c r="B16" s="6" t="inlineStr">
        <is>
          <t>efrag.org</t>
        </is>
      </c>
      <c r="C16" s="6" t="inlineStr">
        <is>
          <t>EFRAG</t>
        </is>
      </c>
      <c r="D16" s="6" t="inlineStr">
        <is>
          <t>LIB-05</t>
        </is>
      </c>
      <c r="E16" s="6" t="inlineStr">
        <is>
          <t>ESRS. Aggiornamenti che modificano la struttura -&gt; escalation (§6)</t>
        </is>
      </c>
      <c r="F16" s="6" t="inlineStr">
        <is>
          <t>VERDE</t>
        </is>
      </c>
    </row>
    <row r="17">
      <c r="A17" s="17" t="inlineStr">
        <is>
          <t>Tier 2</t>
        </is>
      </c>
      <c r="B17" s="4" t="inlineStr">
        <is>
          <t>joint-research-centre.ec.europa.eu</t>
        </is>
      </c>
      <c r="C17" s="4" t="inlineStr">
        <is>
          <t>JRC</t>
        </is>
      </c>
      <c r="D17" s="4" t="inlineStr">
        <is>
          <t>LIB-06</t>
        </is>
      </c>
      <c r="E17" s="4" t="inlineStr">
        <is>
          <t>Dataset di riferimento europei</t>
        </is>
      </c>
      <c r="F17" s="4" t="inlineStr">
        <is>
          <t>VERDE</t>
        </is>
      </c>
    </row>
    <row r="18">
      <c r="A18" s="17" t="inlineStr">
        <is>
          <t>Tier 2</t>
        </is>
      </c>
      <c r="B18" s="6" t="inlineStr">
        <is>
          <t>environment.ec.europa.eu</t>
        </is>
      </c>
      <c r="C18" s="6" t="inlineStr">
        <is>
          <t>Commissione europea — DG ENV</t>
        </is>
      </c>
      <c r="D18" s="6" t="inlineStr">
        <is>
          <t>LIB-06</t>
        </is>
      </c>
      <c r="E18" s="6" t="inlineStr">
        <is>
          <t>Product / Organisation Environmental Footprint</t>
        </is>
      </c>
      <c r="F18" s="6" t="inlineStr">
        <is>
          <t>VERDE</t>
        </is>
      </c>
    </row>
    <row r="19">
      <c r="A19" s="17" t="inlineStr">
        <is>
          <t>Tier 2</t>
        </is>
      </c>
      <c r="B19" s="4" t="inlineStr">
        <is>
          <t>environdec.com</t>
        </is>
      </c>
      <c r="C19" s="4" t="inlineStr">
        <is>
          <t>EPD International</t>
        </is>
      </c>
      <c r="D19" s="4" t="inlineStr">
        <is>
          <t>LIB-06</t>
        </is>
      </c>
      <c r="E19" s="4" t="inlineStr">
        <is>
          <t>EPD verificate con numero di registrazione e organismo di verifica</t>
        </is>
      </c>
      <c r="F19" s="4" t="inlineStr">
        <is>
          <t>GIALLO — quarantena, nessun rilascio senza conferma scritta di Tobia</t>
        </is>
      </c>
    </row>
    <row r="20">
      <c r="A20" s="17" t="inlineStr">
        <is>
          <t>Tier 2</t>
        </is>
      </c>
      <c r="B20" s="6" t="inlineStr">
        <is>
          <t>eco-platform.org</t>
        </is>
      </c>
      <c r="C20" s="6" t="inlineStr">
        <is>
          <t>ECO Platform</t>
        </is>
      </c>
      <c r="D20" s="6" t="inlineStr">
        <is>
          <t>LIB-06</t>
        </is>
      </c>
      <c r="E20" s="6" t="inlineStr">
        <is>
          <t>EPD europee</t>
        </is>
      </c>
      <c r="F20" s="6" t="inlineStr">
        <is>
          <t>GIALLO — stesso regime</t>
        </is>
      </c>
    </row>
    <row r="21">
      <c r="A21" s="20" t="inlineStr">
        <is>
          <t>Tier 3</t>
        </is>
      </c>
      <c r="B21" s="4" t="inlineStr">
        <is>
          <t>verra.org</t>
        </is>
      </c>
      <c r="C21" s="4" t="inlineStr">
        <is>
          <t>Verra</t>
        </is>
      </c>
      <c r="D21" s="4" t="inlineStr">
        <is>
          <t>LIB-03, LIB-04</t>
        </is>
      </c>
      <c r="E21" s="4" t="inlineStr">
        <is>
          <t>Metodologie VCS, buffer di non-permanenza, leakage, requisiti di monitoraggio</t>
        </is>
      </c>
      <c r="F21" s="4" t="inlineStr">
        <is>
          <t>VERDE — da verificare i termini</t>
        </is>
      </c>
    </row>
    <row r="22">
      <c r="A22" s="20" t="inlineStr">
        <is>
          <t>Tier 3</t>
        </is>
      </c>
      <c r="B22" s="6" t="inlineStr">
        <is>
          <t>registry.verra.org</t>
        </is>
      </c>
      <c r="C22" s="6" t="inlineStr">
        <is>
          <t>Verra</t>
        </is>
      </c>
      <c r="D22" s="6" t="inlineStr">
        <is>
          <t>LIB-03, LIB-04</t>
        </is>
      </c>
      <c r="E22" s="6" t="inlineStr">
        <is>
          <t>Registro dei progetti</t>
        </is>
      </c>
      <c r="F22" s="6" t="inlineStr">
        <is>
          <t>VERDE — da verificare i termini</t>
        </is>
      </c>
    </row>
    <row r="23">
      <c r="A23" s="20" t="inlineStr">
        <is>
          <t>Tier 3</t>
        </is>
      </c>
      <c r="B23" s="4" t="inlineStr">
        <is>
          <t>goldstandard.org</t>
        </is>
      </c>
      <c r="C23" s="4" t="inlineStr">
        <is>
          <t>Gold Standard</t>
        </is>
      </c>
      <c r="D23" s="4" t="inlineStr">
        <is>
          <t>LIB-03, LIB-04</t>
        </is>
      </c>
      <c r="E23" s="4" t="inlineStr">
        <is>
          <t>Metodologie e requisiti</t>
        </is>
      </c>
      <c r="F23" s="4" t="inlineStr">
        <is>
          <t>VERDE — da verificare i termini</t>
        </is>
      </c>
    </row>
    <row r="24">
      <c r="A24" s="20" t="inlineStr">
        <is>
          <t>Tier 3</t>
        </is>
      </c>
      <c r="B24" s="6" t="inlineStr">
        <is>
          <t>globalgoals.goldstandard.org</t>
        </is>
      </c>
      <c r="C24" s="6" t="inlineStr">
        <is>
          <t>Gold Standard</t>
        </is>
      </c>
      <c r="D24" s="6" t="inlineStr">
        <is>
          <t>LIB-03, LIB-04</t>
        </is>
      </c>
      <c r="E24" s="6" t="inlineStr">
        <is>
          <t>Registro</t>
        </is>
      </c>
      <c r="F24" s="6" t="inlineStr">
        <is>
          <t>VERDE — da verificare i termini</t>
        </is>
      </c>
    </row>
    <row r="25">
      <c r="A25" s="20" t="inlineStr">
        <is>
          <t>Tier 3</t>
        </is>
      </c>
      <c r="B25" s="4" t="inlineStr">
        <is>
          <t>crea.gov.it</t>
        </is>
      </c>
      <c r="C25" s="4" t="inlineStr">
        <is>
          <t>CREA</t>
        </is>
      </c>
      <c r="D25" s="4" t="inlineStr">
        <is>
          <t>LIB-04</t>
        </is>
      </c>
      <c r="E25" s="4" t="inlineStr">
        <is>
          <t>Interlocuzione forestale, parametri biometrici, registro agroforestale</t>
        </is>
      </c>
      <c r="F25" s="4" t="inlineStr">
        <is>
          <t>VERDE</t>
        </is>
      </c>
    </row>
    <row r="27">
      <c r="A27" s="11" t="inlineStr">
        <is>
          <t>WILDCARD SUI SOTTODOMINI — NON OPZIONALE. ARERA e GSE servono i PDF da percorsi e host distinti da quello della pagina indice. Autorizzare *.arera.it, *.gse.it, *.gazzettaufficiale.it, *.mase.gov.it, *.mimit.gov.it, *.europa.eu. Senza wildcard il fetch della pagina riesce e quello dell'allegato no: e' il caso peggiore, perche' sembra funzionare e non produce provenienza.</t>
        </is>
      </c>
    </row>
    <row r="28"/>
    <row r="29"/>
    <row r="31">
      <c r="A31" s="10" t="inlineStr">
        <is>
          <t>NOTA LIB-04. Il dominio del registro pubblico dei crediti agroforestali NON e' indicato: va confermato al tavolo CREA invece che ipotizzato. Scriverlo per ipotesi in un documento operativo sarebbe la stessa classe di errore dei coefficienti non tracciati. Vale la nota di coordinamento del §3: le specifiche vanno allineate a quel tavolo PRIMA di consolidare la tassonomia.</t>
        </is>
      </c>
    </row>
    <row r="32"/>
    <row r="33"/>
    <row r="35">
      <c r="A35" s="6" t="inlineStr">
        <is>
          <t>COME APPLICARLA. 1) In claude.ai/code aprire le impostazioni dell'environment Default. 2) Sostituire il preset di rete con una policy che includa il Tier 1 (Tier 2 e 3 quando si aprono le rispettive librerie). 3) Avviare una NUOVA sessione: la policy si applica all'avvio del container. Riferimento: https://code.claude.com/docs/en/claude-code-on-the-web</t>
        </is>
      </c>
    </row>
    <row r="36"/>
    <row r="37"/>
  </sheetData>
  <autoFilter ref="A4:F25"/>
  <mergeCells count="5">
    <mergeCell ref="A2:F2"/>
    <mergeCell ref="A27:F29"/>
    <mergeCell ref="A31:F33"/>
    <mergeCell ref="A1:F1"/>
    <mergeCell ref="A35:F3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2"/>
  <sheetViews>
    <sheetView workbookViewId="0">
      <pane ySplit="4" topLeftCell="A5" activePane="bottomLeft" state="frozen"/>
      <selection pane="bottomLeft" activeCell="A1" sqref="A1"/>
    </sheetView>
  </sheetViews>
  <sheetFormatPr baseColWidth="8" defaultRowHeight="15"/>
  <cols>
    <col width="46" customWidth="1" min="1" max="1"/>
    <col width="50" customWidth="1" min="2" max="2"/>
    <col width="34" customWidth="1" min="3" max="3"/>
    <col width="86" customWidth="1" min="4" max="4"/>
  </cols>
  <sheetData>
    <row r="1" ht="26" customHeight="1">
      <c r="A1" s="1" t="inlineStr">
        <is>
          <t>Domini che NON vanno autorizzati</t>
        </is>
      </c>
    </row>
    <row r="2" ht="16" customHeight="1">
      <c r="A2" s="2" t="inlineStr">
        <is>
          <t>Autorizzarli non serve e crea un rischio di contaminazione che non si sana a valle (§5).</t>
        </is>
      </c>
    </row>
    <row r="4" ht="32" customHeight="1">
      <c r="A4" s="3" t="inlineStr">
        <is>
          <t>Categoria</t>
        </is>
      </c>
      <c r="B4" s="3" t="inlineStr">
        <is>
          <t>Esempi</t>
        </is>
      </c>
      <c r="C4" s="3" t="inlineStr">
        <is>
          <t>Classe</t>
        </is>
      </c>
      <c r="D4" s="3" t="inlineStr">
        <is>
          <t>Perche' e cosa fare invece</t>
        </is>
      </c>
    </row>
    <row r="5">
      <c r="A5" s="4" t="inlineStr">
        <is>
          <t>Norme tecniche a pagamento</t>
        </is>
      </c>
      <c r="B5" s="4" t="inlineStr">
        <is>
          <t>store.uni.com, iso.org e simili</t>
        </is>
      </c>
      <c r="C5" s="18" t="inlineStr">
        <is>
          <t>ROSSA — contenuti dietro paywall</t>
        </is>
      </c>
      <c r="D5" s="4" t="inlineStr">
        <is>
          <t>Vanno acquistate come documenti, non scaricate; la citazione dei valori e' vietata. L'esistenza si registra in gaps/licensed_sources.md come opzione di licensing.</t>
        </is>
      </c>
    </row>
    <row r="6">
      <c r="A6" s="6" t="inlineStr">
        <is>
          <t>Database LCA commerciali</t>
        </is>
      </c>
      <c r="B6" s="6" t="inlineStr">
        <is>
          <t>Banche dati proprietarie di software LCA, dataset a pagamento di agenzie internazionali</t>
        </is>
      </c>
      <c r="C6" s="18" t="inlineStr">
        <is>
          <t>ROSSA — divieto assoluto</t>
        </is>
      </c>
      <c r="D6" s="6" t="inlineStr">
        <is>
          <t>Non scaricare, non estrarre, non citare valori. Se servono per coprire una lacuna materiale: scheda con costo, lacuna coperta e impatto sui clienti attivi, poi STOP ed escalation a Tobia (§14).</t>
        </is>
      </c>
    </row>
    <row r="7">
      <c r="A7" s="4" t="inlineStr">
        <is>
          <t>Portali di settore, blog, siti di ESCo, altri software di calcolo, enciclopedie collaborative</t>
        </is>
      </c>
      <c r="B7" s="4" t="inlineStr">
        <is>
          <t>—</t>
        </is>
      </c>
      <c r="C7" s="18" t="inlineStr">
        <is>
          <t>Vietati come FONTE dal §1</t>
        </is>
      </c>
      <c r="D7" s="4" t="inlineStr">
        <is>
          <t>Utili solo per LOCALIZZARE un documento, e per quello WebSearch gia' basta. Autorizzarli al fetch aumenta solo la probabilita' che un valore non tracciato entri in un record.</t>
        </is>
      </c>
    </row>
    <row r="8">
      <c r="A8" s="6" t="inlineStr">
        <is>
          <t>Fonti a licenza non determinabile</t>
        </is>
      </c>
      <c r="B8" s="6" t="inlineStr">
        <is>
          <t>—</t>
        </is>
      </c>
      <c r="C8" s="18" t="inlineStr">
        <is>
          <t>ROSSA per default (§5)</t>
        </is>
      </c>
      <c r="D8" s="6" t="inlineStr">
        <is>
          <t>Nessuna ingestione. Il dubbio si risolve verso il divieto, non verso la completezza.</t>
        </is>
      </c>
    </row>
    <row r="10">
      <c r="A10" s="10" t="inlineStr">
        <is>
          <t>Questo gate ha priorita' su completezza e scadenze (§5). La libreria viaggia dentro una licenza commerciale B.R.A.I.N.: un dataset non redistribuibile che entra qui non si toglie piu' a valle.</t>
        </is>
      </c>
    </row>
    <row r="11"/>
    <row r="12"/>
  </sheetData>
  <mergeCells count="3">
    <mergeCell ref="A10:D12"/>
    <mergeCell ref="A1:D1"/>
    <mergeCell ref="A2:D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5" customWidth="1" min="1" max="1"/>
    <col width="44" customWidth="1" min="2" max="2"/>
    <col width="32" customWidth="1" min="3" max="3"/>
    <col width="60" customWidth="1" min="4" max="4"/>
    <col width="72" customWidth="1" min="5" max="5"/>
    <col width="34" customWidth="1" min="6" max="6"/>
  </cols>
  <sheetData>
    <row r="1" ht="26" customHeight="1">
      <c r="A1" s="1" t="inlineStr">
        <is>
          <t>Piano di lavoro — alla prima sessione con allowlist attiva</t>
        </is>
      </c>
    </row>
    <row r="2" ht="16" customHeight="1">
      <c r="A2" s="2" t="inlineStr">
        <is>
          <t>L'ordine non e' quello dei numeri: la priorita' e' condizionata dal decreto 2025.</t>
        </is>
      </c>
    </row>
    <row r="4" ht="32" customHeight="1">
      <c r="A4" s="3" t="inlineStr">
        <is>
          <t>#</t>
        </is>
      </c>
      <c r="B4" s="3" t="inlineStr">
        <is>
          <t>Attivita'</t>
        </is>
      </c>
      <c r="C4" s="3" t="inlineStr">
        <is>
          <t>Domini necessari</t>
        </is>
      </c>
      <c r="D4" s="3" t="inlineStr">
        <is>
          <t>Output atteso</t>
        </is>
      </c>
      <c r="E4" s="3" t="inlineStr">
        <is>
          <t>Perche' in questa posizione</t>
        </is>
      </c>
      <c r="F4" s="3" t="inlineStr">
        <is>
          <t>Dipendenze</t>
        </is>
      </c>
    </row>
    <row r="5">
      <c r="A5" s="18" t="inlineStr">
        <is>
          <t>1</t>
        </is>
      </c>
      <c r="B5" s="4" t="inlineStr">
        <is>
          <t>VF-004 — D.M. MASE 21 luglio 2025 in Gazzetta Ufficiale</t>
        </is>
      </c>
      <c r="C5" s="4" t="inlineStr">
        <is>
          <t>gazzettaufficiale.it, gse.it</t>
        </is>
      </c>
      <c r="D5" s="4" t="inlineStr">
        <is>
          <t>Conferma di esistenza, data, numero di GU; articoli su vita utile, metodi di valutazione, progetti aggregati; elenco dei record LIB-01 impattati</t>
        </is>
      </c>
      <c r="E5" s="4" t="inlineStr">
        <is>
          <t>PRIMA DI TUTTO IL RESTO. Se confermato, ridefinisce la base normativa dell'intera LIB-01: verificare i singoli coefficienti prima significherebbe rischiare di validarli contro un regime superato. Esito -&gt; ESCALATION A TOBIA (§14), non aggiornamento di record.</t>
        </is>
      </c>
      <c r="F5" s="4" t="inlineStr">
        <is>
          <t>Nessuna oltre l'allowlist Tier 1</t>
        </is>
      </c>
    </row>
    <row r="6">
      <c r="A6" s="6" t="inlineStr">
        <is>
          <t>2</t>
        </is>
      </c>
      <c r="B6" s="6" t="inlineStr">
        <is>
          <t>VF-001 — Delibera EEN 3/08</t>
        </is>
      </c>
      <c r="C6" s="6" t="inlineStr">
        <is>
          <t>arera.it</t>
        </is>
      </c>
      <c r="D6" s="6" t="inlineStr">
        <is>
          <t>Valore verbatim, articolo, allegato, tabella, pagina, data di adozione e di entrata in vigore; file archiviato con SHA-256</t>
        </is>
      </c>
      <c r="E6" s="6" t="inlineStr">
        <is>
          <t>Chiude CONF-001. Il record LIB01-EE-PRIM-0001 puo' passare a in_review. Attenzione a non collassare l'asimmetria: e' energia primaria, non identita' fisica.</t>
        </is>
      </c>
      <c r="F6" s="6" t="inlineStr">
        <is>
          <t>Esito di VF-004 (per sapere se il coefficiente e' ancora vigente)</t>
        </is>
      </c>
    </row>
    <row r="7">
      <c r="A7" s="4" t="inlineStr">
        <is>
          <t>3</t>
        </is>
      </c>
      <c r="B7" s="4" t="inlineStr">
        <is>
          <t>VF-002 — atto che fissa il coefficiente gas naturale</t>
        </is>
      </c>
      <c r="C7" s="4" t="inlineStr">
        <is>
          <t>arera.it, gse.it, gazzettaufficiale.it</t>
        </is>
      </c>
      <c r="D7" s="4" t="inlineStr">
        <is>
          <t>Identificazione dell'atto; poi valore verbatim, tabella, pagina, vigenza</t>
        </is>
      </c>
      <c r="E7" s="4" t="inlineStr">
        <is>
          <t>Se l'atto non esiste, la lacuna resta e va dichiarata: e' un esito legittimo e va scritto, non aggirato.</t>
        </is>
      </c>
      <c r="F7" s="4" t="inlineStr">
        <is>
          <t>Esito di VF-004</t>
        </is>
      </c>
    </row>
    <row r="8">
      <c r="A8" s="6" t="inlineStr">
        <is>
          <t>4</t>
        </is>
      </c>
      <c r="B8" s="6" t="inlineStr">
        <is>
          <t>VF-003 — D.M. 20 luglio 2004 e allegato IV dir. 2012/27/UE</t>
        </is>
      </c>
      <c r="C8" s="6" t="inlineStr">
        <is>
          <t>gazzettaufficiale.it, eur-lex.europa.eu</t>
        </is>
      </c>
      <c r="D8" s="6" t="inlineStr">
        <is>
          <t>Entrambi i testi, per portare CONF-002 a Garbin con i documenti in mano invece che con due citazioni</t>
        </is>
      </c>
      <c r="E8" s="6" t="inlineStr">
        <is>
          <t>Non risolvere il conflitto: presentarlo. La decisione di gerarchia e' del CSO e va registrata in taxonomy/source_hierarchy.yaml.</t>
        </is>
      </c>
      <c r="F8" s="6" t="inlineStr">
        <is>
          <t>Nessuna</t>
        </is>
      </c>
    </row>
    <row r="9">
      <c r="A9" s="4" t="inlineStr">
        <is>
          <t>5</t>
        </is>
      </c>
      <c r="B9" s="4" t="inlineStr">
        <is>
          <t>VF-005 — Guida Operativa GSE e allegati</t>
        </is>
      </c>
      <c r="C9" s="4" t="inlineStr">
        <is>
          <t>gse.it</t>
        </is>
      </c>
      <c r="D9" s="4" t="inlineStr">
        <is>
          <t>Tabelle complete dei coefficienti per gli altri vettori, parametri CAR, vita utile, durabilita', soglie di accesso, PCI</t>
        </is>
      </c>
      <c r="E9" s="4" t="inlineStr">
        <is>
          <t>Copre GAP-004 e parte di GAP-005. Volume potenzialmente &gt; 50 record: spezzare in pacchetti sequenziali per materialita' (§9).</t>
        </is>
      </c>
      <c r="F9" s="4" t="inlineStr">
        <is>
          <t>Esito di VF-004</t>
        </is>
      </c>
    </row>
    <row r="10">
      <c r="A10" s="6" t="inlineStr">
        <is>
          <t>6</t>
        </is>
      </c>
      <c r="B10" s="6" t="inlineStr">
        <is>
          <t>Deposito e hash</t>
        </is>
      </c>
      <c r="C10" s="6" t="inlineStr">
        <is>
          <t>—</t>
        </is>
      </c>
      <c r="D10" s="6" t="inlineStr">
        <is>
          <t>sources/&lt;org&gt;/&lt;documento&gt;_&lt;edizione&gt;/ con source_file_sha256 per ogni documento; retrieval_date compilata</t>
        </is>
      </c>
      <c r="E10" s="6" t="inlineStr">
        <is>
          <t>E' la condizione del gate 2 e del gate 14. Senza questo passaggio nessun record e' promuovibile, anche con i valori in mano.</t>
        </is>
      </c>
      <c r="F10" s="6" t="inlineStr">
        <is>
          <t>Passi 1-5</t>
        </is>
      </c>
    </row>
    <row r="11">
      <c r="A11" s="4" t="inlineStr">
        <is>
          <t>7</t>
        </is>
      </c>
      <c r="B11" s="4" t="inlineStr">
        <is>
          <t>Tassonomia minima</t>
        </is>
      </c>
      <c r="C11" s="4" t="inlineStr">
        <is>
          <t>—</t>
        </is>
      </c>
      <c r="D11" s="4" t="inlineStr">
        <is>
          <t>taxonomy/units.yaml (regole di conversione dichiarate), plausibility_ranges.yaml, source_hierarchy.yaml registrata da Garbin</t>
        </is>
      </c>
      <c r="E11" s="4" t="inlineStr">
        <is>
          <t>Sblocca i gate 3, 4 e 6. GAP-013. Senza units.yaml nessuna conversione e' ammissibile, quindi il lavoro sui valori non si chiude comunque.</t>
        </is>
      </c>
      <c r="F11" s="4" t="inlineStr">
        <is>
          <t>Decisioni di Garbin su gerarchia</t>
        </is>
      </c>
    </row>
    <row r="12">
      <c r="A12" s="6" t="inlineStr">
        <is>
          <t>8</t>
        </is>
      </c>
      <c r="B12" s="6" t="inlineStr">
        <is>
          <t>Primo pacchetto di validazione</t>
        </is>
      </c>
      <c r="C12" s="6" t="inlineStr">
        <is>
          <t>—</t>
        </is>
      </c>
      <c r="D12" s="6" t="inlineStr">
        <is>
          <t>validation/ATL_OPS_EF_Pacchetto_LIB01_&lt;versione&gt;/ con sintesi.md, diff.xlsx, conflitti.md, gaps.md, sources/</t>
        </is>
      </c>
      <c r="E12" s="6" t="inlineStr">
        <is>
          <t>Tetto 50 record. Tutti i record LIB-01 sono T1: validazione puntuale. Solo dopo la firma di Garbin si rilascia, e solo gli approvati.</t>
        </is>
      </c>
      <c r="F12" s="6" t="inlineStr">
        <is>
          <t>Passi 1-7</t>
        </is>
      </c>
    </row>
    <row r="14">
      <c r="A14" s="10" t="inlineStr">
        <is>
          <t>COSA RESTA FUORI DA QUESTO PIANO. LIB-03 e LIB-04 non partono con l'allowlist: dipendono dall'allineamento al tavolo CREA (GAP-007) e dalla scelta dello standard di certificazione per progetto, che e' una decisione di business, non di curazione. LIB-06 e' limitata strutturalmente dalla licenza dei dati di background (GAP-012): serve una decisione di Tobia sull'acquisto, non piu' lavoro di ricerca.</t>
        </is>
      </c>
    </row>
    <row r="15"/>
    <row r="16"/>
  </sheetData>
  <mergeCells count="3">
    <mergeCell ref="A14:F16"/>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14" customWidth="1" min="1" max="1"/>
    <col width="18" customWidth="1" min="2" max="2"/>
    <col width="86" customWidth="1" min="3" max="3"/>
    <col width="42" customWidth="1" min="4" max="4"/>
    <col width="38" customWidth="1" min="5" max="5"/>
    <col width="20" customWidth="1" min="6" max="6"/>
    <col width="20" customWidth="1" min="7" max="7"/>
    <col width="10" customWidth="1" min="8" max="8"/>
  </cols>
  <sheetData>
    <row r="1" ht="26" customHeight="1">
      <c r="A1" s="1" t="inlineStr">
        <is>
          <t>Registro dello sforzo di curazione (§15) — da riversare in docs/changelog.md</t>
        </is>
      </c>
    </row>
    <row r="2" ht="16" customHeight="1">
      <c r="A2" s="2" t="inlineStr">
        <is>
          <t>Prova d'investimento per il diritto sui generis sulla banca dati (dir. 96/9/CE; art. 102-bis L. 633/1941). Ricostruirlo a posteriori non e' possibile: tenuto dal primo commit.</t>
        </is>
      </c>
    </row>
    <row r="4" ht="32" customHeight="1">
      <c r="A4" s="3" t="inlineStr">
        <is>
          <t>Data</t>
        </is>
      </c>
      <c r="B4" s="3" t="inlineStr">
        <is>
          <t>Commit</t>
        </is>
      </c>
      <c r="C4" s="3" t="inlineStr">
        <is>
          <t>Attivita' di curazione</t>
        </is>
      </c>
      <c r="D4" s="3" t="inlineStr">
        <is>
          <t>Record lavorati</t>
        </is>
      </c>
      <c r="E4" s="3" t="inlineStr">
        <is>
          <t>Fonti verificate</t>
        </is>
      </c>
      <c r="F4" s="3" t="inlineStr">
        <is>
          <t>Lacune censite (cum.)</t>
        </is>
      </c>
      <c r="G4" s="3" t="inlineStr">
        <is>
          <t>Conflitti aperti (cum.)</t>
        </is>
      </c>
      <c r="H4" s="3" t="inlineStr">
        <is>
          <t>Ore</t>
        </is>
      </c>
    </row>
    <row r="5">
      <c r="A5" s="4" t="inlineStr">
        <is>
          <t>2026-08-20</t>
        </is>
      </c>
      <c r="B5" s="4" t="inlineStr">
        <is>
          <t>6c55b4e</t>
        </is>
      </c>
      <c r="C5" s="4" t="inlineStr">
        <is>
          <t>Collocazione del documento di governance ATL_OPS_AgentEF_IstruzioniClaudeCode_v2 come CLAUDE.md in root, riportato verbatim</t>
        </is>
      </c>
      <c r="D5" s="4" t="inlineStr">
        <is>
          <t>1 documento normalizzato</t>
        </is>
      </c>
      <c r="E5" s="4" t="inlineStr">
        <is>
          <t>0</t>
        </is>
      </c>
      <c r="F5" s="4" t="inlineStr">
        <is>
          <t>0</t>
        </is>
      </c>
      <c r="G5" s="4" t="inlineStr">
        <is>
          <t>0</t>
        </is>
      </c>
      <c r="H5" s="4" t="inlineStr"/>
    </row>
    <row r="6">
      <c r="A6" s="6" t="inlineStr">
        <is>
          <t>2026-08-20</t>
        </is>
      </c>
      <c r="B6" s="6" t="inlineStr">
        <is>
          <t>c71af4b</t>
        </is>
      </c>
      <c r="C6" s="6" t="inlineStr">
        <is>
          <t>Costruzione del workbook: schema canonico a 50 campi, 6 template libreria, semaforo licenze, 14 gate, gate trasversali G1-G3, tier di validazione, legenda</t>
        </is>
      </c>
      <c r="D6" s="6" t="inlineStr">
        <is>
          <t>3 record bozza trascritti (tutti manual_transcription, quindi tutti T1)</t>
        </is>
      </c>
      <c r="E6" s="6" t="inlineStr">
        <is>
          <t>0</t>
        </is>
      </c>
      <c r="F6" s="6" t="inlineStr">
        <is>
          <t>17</t>
        </is>
      </c>
      <c r="G6" s="6" t="inlineStr">
        <is>
          <t>0</t>
        </is>
      </c>
      <c r="H6" s="6" t="inlineStr"/>
    </row>
    <row r="7">
      <c r="A7" s="4" t="inlineStr">
        <is>
          <t>2026-08-21</t>
        </is>
      </c>
      <c r="B7" s="4" t="inlineStr">
        <is>
          <t>d064cfd</t>
        </is>
      </c>
      <c r="C7" s="4" t="inlineStr">
        <is>
          <t>Verifica di fonte: 6 query di ricerca, localizzazione dei documenti primari, apertura dei conflitti</t>
        </is>
      </c>
      <c r="D7" s="4" t="inlineStr">
        <is>
          <t>3 record rivisti (NOTA_CURATORE aggiornata)</t>
        </is>
      </c>
      <c r="E7" s="4" t="inlineStr">
        <is>
          <t>4 documenti primari localizzati, 0 scaricati (egress)</t>
        </is>
      </c>
      <c r="F7" s="4" t="inlineStr">
        <is>
          <t>19</t>
        </is>
      </c>
      <c r="G7" s="4" t="inlineStr">
        <is>
          <t>2</t>
        </is>
      </c>
      <c r="H7" s="4" t="inlineStr"/>
    </row>
    <row r="8">
      <c r="A8" s="6" t="inlineStr">
        <is>
          <t>2026-08-21</t>
        </is>
      </c>
      <c r="B8" s="6" t="inlineStr">
        <is>
          <t>94026e4</t>
        </is>
      </c>
      <c r="C8" s="6" t="inlineStr">
        <is>
          <t>Allowlist dei domini di fonte primaria: docs/ATL_OPS_EF_Allowlist_fonti_v1.md, 21 domini su 3 tier, 4 categorie escluse</t>
        </is>
      </c>
      <c r="D8" s="6" t="inlineStr">
        <is>
          <t>0</t>
        </is>
      </c>
      <c r="E8" s="6" t="inlineStr">
        <is>
          <t>0</t>
        </is>
      </c>
      <c r="F8" s="6" t="inlineStr">
        <is>
          <t>19</t>
        </is>
      </c>
      <c r="G8" s="6" t="inlineStr">
        <is>
          <t>2</t>
        </is>
      </c>
      <c r="H8" s="6" t="inlineStr"/>
    </row>
    <row r="9">
      <c r="A9" s="4" t="inlineStr">
        <is>
          <t>2026-08-21</t>
        </is>
      </c>
      <c r="B9" s="4" t="inlineStr">
        <is>
          <t>(questo commit)</t>
        </is>
      </c>
      <c r="C9" s="4" t="inlineStr">
        <is>
          <t>Ricostruzione completa del workbook a 20 fogli: integrati allowlist, domini esclusi, piano di lavoro in 8 passi e questo registro. Stato dei 14 gate esplicitato record per record</t>
        </is>
      </c>
      <c r="D9" s="4" t="inlineStr">
        <is>
          <t>3 record confermati draft</t>
        </is>
      </c>
      <c r="E9" s="4" t="inlineStr">
        <is>
          <t>0</t>
        </is>
      </c>
      <c r="F9" s="4" t="inlineStr">
        <is>
          <t>19</t>
        </is>
      </c>
      <c r="G9" s="4" t="inlineStr">
        <is>
          <t>2</t>
        </is>
      </c>
      <c r="H9" s="4" t="inlineStr"/>
    </row>
    <row r="11">
      <c r="A11" s="11" t="inlineStr">
        <is>
          <t>COLONNA ORE NON COMPILATA, DELIBERATAMENTE. L'agent non ha modo di misurare il tempo-persona impiegato e non lo stima: sarebbe un numero inventato dentro il documento che deve dimostrare un investimento. Va compilata da chi lavora. Se la dimostrazione dell'investimento e' rilevante per la tutela sui generis, questa colonna e' la parte che conta di piu' ed e' l'unica che l'agent non puo' produrre.</t>
        </is>
      </c>
    </row>
    <row r="12"/>
    <row r="13"/>
    <row r="15">
      <c r="A15" s="6" t="inlineStr">
        <is>
          <t>Metrica di successo dell'agent (§0): quota di record approvati da Garbin senza rilievi; record entrati in produzione senza firma, che deve essere ZERO. Stato al 21/08/2026: record approvati 0 su 0 presentati; record in produzione senza firma 0. La seconda metrica e' rispettata.</t>
        </is>
      </c>
    </row>
    <row r="16"/>
    <row r="17"/>
  </sheetData>
  <mergeCells count="4">
    <mergeCell ref="A11:H13"/>
    <mergeCell ref="A2:H2"/>
    <mergeCell ref="A15:H17"/>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2026-08-21T08:03:41Z</dcterms:created>
  <dcterms:modified xsi:type="dcterms:W3CDTF">2026-08-21T08:03:41Z</dcterms:modified>
</cp:coreProperties>
</file>